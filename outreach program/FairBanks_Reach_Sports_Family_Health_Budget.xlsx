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oding\apps\flutter\fairbanks\outreach program\"/>
    </mc:Choice>
  </mc:AlternateContent>
  <xr:revisionPtr revIDLastSave="0" documentId="13_ncr:1_{6288C223-C774-4ED6-A9E5-63EFF0B04EBD}" xr6:coauthVersionLast="47" xr6:coauthVersionMax="47" xr10:uidLastSave="{00000000-0000-0000-0000-000000000000}"/>
  <bookViews>
    <workbookView xWindow="-110" yWindow="-110" windowWidth="19420" windowHeight="10300" tabRatio="1000" activeTab="6" xr2:uid="{00000000-000D-0000-FFFF-FFFF00000000}"/>
  </bookViews>
  <sheets>
    <sheet name="Dashboard" sheetId="1" r:id="rId1"/>
    <sheet name="Annual Summary" sheetId="2" r:id="rId2"/>
    <sheet name="Per-Camp Budget" sheetId="3" r:id="rId3"/>
    <sheet name="Overhead Fixed &amp; Setup" sheetId="4" r:id="rId4"/>
    <sheet name="Assumptions" sheetId="5" r:id="rId5"/>
    <sheet name="Budget Notes &amp; Justification" sheetId="6" r:id="rId6"/>
    <sheet name="3-Year Outlook (Indicative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5" l="1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36" i="4" s="1"/>
  <c r="E17" i="4"/>
  <c r="E18" i="4" s="1"/>
  <c r="E16" i="4"/>
  <c r="E15" i="4"/>
  <c r="E14" i="4"/>
  <c r="E13" i="4"/>
  <c r="E8" i="4"/>
  <c r="D8" i="4"/>
  <c r="E7" i="4"/>
  <c r="D7" i="4"/>
  <c r="E6" i="4"/>
  <c r="E9" i="4" s="1"/>
  <c r="D6" i="4"/>
  <c r="G59" i="3"/>
  <c r="F59" i="3"/>
  <c r="G58" i="3"/>
  <c r="F58" i="3"/>
  <c r="F55" i="3"/>
  <c r="G55" i="3" s="1"/>
  <c r="G54" i="3"/>
  <c r="G56" i="3" s="1"/>
  <c r="B16" i="1" s="1"/>
  <c r="F54" i="3"/>
  <c r="F56" i="3" s="1"/>
  <c r="F51" i="3"/>
  <c r="G51" i="3" s="1"/>
  <c r="F50" i="3"/>
  <c r="G50" i="3" s="1"/>
  <c r="G49" i="3"/>
  <c r="F49" i="3"/>
  <c r="F48" i="3"/>
  <c r="G48" i="3" s="1"/>
  <c r="G52" i="3" s="1"/>
  <c r="B15" i="1" s="1"/>
  <c r="F45" i="3"/>
  <c r="G45" i="3" s="1"/>
  <c r="G44" i="3"/>
  <c r="F44" i="3"/>
  <c r="F43" i="3"/>
  <c r="G43" i="3" s="1"/>
  <c r="F42" i="3"/>
  <c r="G42" i="3" s="1"/>
  <c r="F41" i="3"/>
  <c r="G41" i="3" s="1"/>
  <c r="G40" i="3"/>
  <c r="F40" i="3"/>
  <c r="F39" i="3"/>
  <c r="G39" i="3" s="1"/>
  <c r="G46" i="3" s="1"/>
  <c r="B14" i="1" s="1"/>
  <c r="F36" i="3"/>
  <c r="F37" i="3" s="1"/>
  <c r="F33" i="3"/>
  <c r="G33" i="3" s="1"/>
  <c r="F32" i="3"/>
  <c r="G32" i="3" s="1"/>
  <c r="F31" i="3"/>
  <c r="G31" i="3" s="1"/>
  <c r="G30" i="3"/>
  <c r="F30" i="3"/>
  <c r="F34" i="3" s="1"/>
  <c r="F27" i="3"/>
  <c r="G27" i="3" s="1"/>
  <c r="F26" i="3"/>
  <c r="F28" i="3" s="1"/>
  <c r="F23" i="3"/>
  <c r="G23" i="3" s="1"/>
  <c r="F22" i="3"/>
  <c r="G22" i="3" s="1"/>
  <c r="F21" i="3"/>
  <c r="G21" i="3" s="1"/>
  <c r="G20" i="3"/>
  <c r="F20" i="3"/>
  <c r="F24" i="3" s="1"/>
  <c r="F17" i="3"/>
  <c r="G17" i="3" s="1"/>
  <c r="F16" i="3"/>
  <c r="G16" i="3" s="1"/>
  <c r="G15" i="3"/>
  <c r="F15" i="3"/>
  <c r="F14" i="3"/>
  <c r="G14" i="3" s="1"/>
  <c r="F13" i="3"/>
  <c r="G13" i="3" s="1"/>
  <c r="F12" i="3"/>
  <c r="G12" i="3" s="1"/>
  <c r="G11" i="3"/>
  <c r="F11" i="3"/>
  <c r="F10" i="3"/>
  <c r="G10" i="3" s="1"/>
  <c r="F9" i="3"/>
  <c r="G9" i="3" s="1"/>
  <c r="F8" i="3"/>
  <c r="G8" i="3" s="1"/>
  <c r="G7" i="3"/>
  <c r="F7" i="3"/>
  <c r="F6" i="3"/>
  <c r="F18" i="3" s="1"/>
  <c r="B19" i="2"/>
  <c r="B18" i="2"/>
  <c r="B17" i="2"/>
  <c r="B18" i="1"/>
  <c r="C5" i="1"/>
  <c r="B5" i="1"/>
  <c r="B20" i="1" l="1"/>
  <c r="B7" i="2"/>
  <c r="B21" i="1"/>
  <c r="B9" i="2"/>
  <c r="G34" i="3"/>
  <c r="B12" i="1" s="1"/>
  <c r="G24" i="3"/>
  <c r="B10" i="1" s="1"/>
  <c r="B19" i="1"/>
  <c r="B6" i="2"/>
  <c r="G26" i="3"/>
  <c r="G28" i="3" s="1"/>
  <c r="B11" i="1" s="1"/>
  <c r="G36" i="3"/>
  <c r="G37" i="3" s="1"/>
  <c r="B13" i="1" s="1"/>
  <c r="F46" i="3"/>
  <c r="F61" i="3" s="1"/>
  <c r="F52" i="3"/>
  <c r="G6" i="3"/>
  <c r="G18" i="3" s="1"/>
  <c r="B9" i="1" l="1"/>
  <c r="G61" i="3"/>
  <c r="B5" i="2" s="1"/>
  <c r="B8" i="2" s="1"/>
  <c r="B10" i="2" s="1"/>
  <c r="B11" i="2" l="1"/>
  <c r="B13" i="2" s="1"/>
  <c r="C5" i="7" l="1"/>
  <c r="A5" i="1"/>
  <c r="B21" i="2"/>
  <c r="D5" i="1" s="1"/>
  <c r="B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0" authorId="0" shapeId="0" xr:uid="{00000000-0006-0000-0200-000001000000}">
      <text>
        <r>
          <rPr>
            <sz val="10"/>
            <rFont val="Arial"/>
            <family val="2"/>
          </rPr>
          <t>See 'Budget Notes &amp; Justification' tab, Note 1: this kit contains NO controlled/narcotic opiate substances. Non-narcotic analgesics only (paracetamol, ibuprofen/NSAIDs) - appropriate for a lay-volunteer/CHW-supported community outreach setting under Uganda's National Drug Authority rules.</t>
        </r>
      </text>
    </comment>
  </commentList>
</comments>
</file>

<file path=xl/sharedStrings.xml><?xml version="1.0" encoding="utf-8"?>
<sst xmlns="http://schemas.openxmlformats.org/spreadsheetml/2006/main" count="293" uniqueCount="235">
  <si>
    <t>Year 1 Budget Dashboard  |  Kampala Peri-Urban Pilot  |  Proposed Start: September 2026</t>
  </si>
  <si>
    <t>YEAR 1 FUNDING REQUEST</t>
  </si>
  <si>
    <t>CAMPS / YEAR</t>
  </si>
  <si>
    <t>BENEFICIARIES REACHED</t>
  </si>
  <si>
    <t>COST PER BENEFICIARY</t>
  </si>
  <si>
    <t>Annual Cost by Category (USD)</t>
  </si>
  <si>
    <t>Category</t>
  </si>
  <si>
    <t>Annual Amount (USD)</t>
  </si>
  <si>
    <t>Health Workforce</t>
  </si>
  <si>
    <t>Drugs &amp; Medical Supplies</t>
  </si>
  <si>
    <t>Sports Massage &amp; Physiotherapy</t>
  </si>
  <si>
    <t>Hydration &amp; Refreshments</t>
  </si>
  <si>
    <t>Ambulance &amp; Emergency Referral</t>
  </si>
  <si>
    <t>Venue, Logistics &amp; Equipment</t>
  </si>
  <si>
    <t>Community Mobilization</t>
  </si>
  <si>
    <t>Printing &amp; Registration</t>
  </si>
  <si>
    <t>Program Management &amp; Overhead</t>
  </si>
  <si>
    <t>Annual Fixed Costs (Insurance/Compliance)</t>
  </si>
  <si>
    <t>One-Time Setup &amp; Equipment</t>
  </si>
  <si>
    <t>All figures are indicative Year-1 planning estimates. See 'Budget Notes &amp; Justification' tab for sources and assumptions.</t>
  </si>
  <si>
    <t>Year 1 Annual Summary - FairBanks Community Outreach Program</t>
  </si>
  <si>
    <t>Sports &amp; Family Health component | Kampala peri-urban pilot | September/October 2026 - August/September 2027</t>
  </si>
  <si>
    <t>Budget Line</t>
  </si>
  <si>
    <t>Amount (USD)</t>
  </si>
  <si>
    <t>Source</t>
  </si>
  <si>
    <t>Recurring Camp-Based Program Costs (12 camps/year)</t>
  </si>
  <si>
    <t>Per-Camp Budget tab</t>
  </si>
  <si>
    <t>Program Management &amp; Overhead (Annual)</t>
  </si>
  <si>
    <t>Overhead Fixed &amp; Setup tab, Section A</t>
  </si>
  <si>
    <t>Annual Fixed Costs (Insurance, Compliance, Comms)</t>
  </si>
  <si>
    <t>Overhead Fixed &amp; Setup tab, Section B</t>
  </si>
  <si>
    <t>Subtotal - Recurring Annual Program Costs</t>
  </si>
  <si>
    <t>Sum of rows above</t>
  </si>
  <si>
    <t>One-Time Setup &amp; Equipment (Year 1 only)</t>
  </si>
  <si>
    <t>Overhead Fixed &amp; Setup tab, Section C</t>
  </si>
  <si>
    <t>Subtotal Before Contingency</t>
  </si>
  <si>
    <t>Recurring + One-Time</t>
  </si>
  <si>
    <t>Contingency (7%)</t>
  </si>
  <si>
    <t>Assumptions tab</t>
  </si>
  <si>
    <t>GRAND TOTAL - YEAR 1 FUNDING REQUEST</t>
  </si>
  <si>
    <t>KEY METRICS</t>
  </si>
  <si>
    <t>Camps in Year 1</t>
  </si>
  <si>
    <t>Average participants per camp</t>
  </si>
  <si>
    <t>Estimated beneficiaries reached (Year 1)</t>
  </si>
  <si>
    <t>Average program cost per camp (incl. contingency)</t>
  </si>
  <si>
    <t>Average cost per beneficiary reached</t>
  </si>
  <si>
    <t>Per-Camp Budget — Detailed Line Items (USD)</t>
  </si>
  <si>
    <t>One camp = one outreach day at a church, sports centre or school. Annual = Per-Camp x Camps/Year (Assumptions tab).</t>
  </si>
  <si>
    <t>Item</t>
  </si>
  <si>
    <t>Unit</t>
  </si>
  <si>
    <t>Unit Cost (USD)</t>
  </si>
  <si>
    <t>Qty / Camp</t>
  </si>
  <si>
    <t>Line Total / Camp</t>
  </si>
  <si>
    <t>Annual Total (12 camps)</t>
  </si>
  <si>
    <t>A. Health Workforce (Camp-Day Facilitation)</t>
  </si>
  <si>
    <t>Medical Doctor / Physician</t>
  </si>
  <si>
    <t>day</t>
  </si>
  <si>
    <t>Clinical Officer</t>
  </si>
  <si>
    <t>Registered Nurse</t>
  </si>
  <si>
    <t>Physiotherapist / Sports Massage Therapist</t>
  </si>
  <si>
    <t>Pharmacist / Dispenser</t>
  </si>
  <si>
    <t>Laboratory Technician</t>
  </si>
  <si>
    <t>Triage Nurse / Assistant</t>
  </si>
  <si>
    <t>Health Educator / Counsellor (HIV testing &amp; counselling, nutrition, family planning)</t>
  </si>
  <si>
    <t>FCHIIP Data Clerk / Digital Registration Assistant</t>
  </si>
  <si>
    <t>Program Coordinator / Logistics Lead</t>
  </si>
  <si>
    <t>Security Guard</t>
  </si>
  <si>
    <t>Community Health Worker (CHW/VHT) volunteer stipend</t>
  </si>
  <si>
    <t>Subtotal - A. Health Workforce (Camp-Day Facilitation)</t>
  </si>
  <si>
    <t>B. Drugs &amp; Medical Supplies</t>
  </si>
  <si>
    <t>Essential outreach drug kit (analgesics/antipyretics, short-course antibiotics, antimalarials, antihistamines, antacids, dewormers, multivitamins, ORS sachets, family-planning commodities) - see Note 1</t>
  </si>
  <si>
    <t>kit</t>
  </si>
  <si>
    <t>Basic pharmacy &amp; wound-care consumables (gloves, syringes, cotton wool, antiseptic, gauze, bandages, sharps box)</t>
  </si>
  <si>
    <t>set</t>
  </si>
  <si>
    <t>Blood glucose test strips &amp; lancets (approx. 150 tests)</t>
  </si>
  <si>
    <t>pack</t>
  </si>
  <si>
    <t>BP monitor consumables / batteries</t>
  </si>
  <si>
    <t>Subtotal - B. Drugs &amp; Medical Supplies</t>
  </si>
  <si>
    <t>C. Sports Massage &amp; Physiotherapy Supplies</t>
  </si>
  <si>
    <t>Massage oil, lotion &amp; liniment</t>
  </si>
  <si>
    <t>Cold spray, kinesiology tape, resistance bands, disposable towels</t>
  </si>
  <si>
    <t>Subtotal - C. Sports Massage &amp; Physiotherapy Supplies</t>
  </si>
  <si>
    <t>D. Hydration &amp; Refreshments</t>
  </si>
  <si>
    <t>Drinking water (500ml bottles)</t>
  </si>
  <si>
    <t>bottle</t>
  </si>
  <si>
    <t>Oral rehydration / electrolyte drinks</t>
  </si>
  <si>
    <t>unit</t>
  </si>
  <si>
    <t>Juice / glucose drinks (children &amp; elderly)</t>
  </si>
  <si>
    <t>Cups &amp; dispensing supplies</t>
  </si>
  <si>
    <t>Subtotal - D. Hydration &amp; Refreshments</t>
  </si>
  <si>
    <t>E. Ambulance &amp; Emergency Referral</t>
  </si>
  <si>
    <t>Ambulance standby - vehicle, driver, paramedic &amp; fuel (full day)</t>
  </si>
  <si>
    <t>Subtotal - E. Ambulance &amp; Emergency Referral</t>
  </si>
  <si>
    <t>F. Venue, Logistics &amp; Equipment Hire</t>
  </si>
  <si>
    <t>Canopy / tent hire (large)</t>
  </si>
  <si>
    <t>Tables &amp; chairs hire</t>
  </si>
  <si>
    <t>PA system / sound equipment hire</t>
  </si>
  <si>
    <t>Generator hire &amp; fuel</t>
  </si>
  <si>
    <t>Signage &amp; banners</t>
  </si>
  <si>
    <t>Transport - vehicle hire &amp; fuel (staff &amp; supplies)</t>
  </si>
  <si>
    <t>trip</t>
  </si>
  <si>
    <t>Medical waste disposal / sharps collection</t>
  </si>
  <si>
    <t>service</t>
  </si>
  <si>
    <t>Subtotal - F. Venue, Logistics &amp; Equipment Hire</t>
  </si>
  <si>
    <t>G. Community Mobilization &amp; Facilitation</t>
  </si>
  <si>
    <t>Staff &amp; volunteer meals</t>
  </si>
  <si>
    <t>person</t>
  </si>
  <si>
    <t>Venue/community liaison facilitation (church, school or sports-centre contact)</t>
  </si>
  <si>
    <t>token</t>
  </si>
  <si>
    <t>Local authority courtesy &amp; permit fees</t>
  </si>
  <si>
    <t>fee</t>
  </si>
  <si>
    <t>Photography / videography documentation (for funder reporting)</t>
  </si>
  <si>
    <t>Subtotal - G. Community Mobilization &amp; Facilitation</t>
  </si>
  <si>
    <t>H. FCHIIP Data &amp; Digital</t>
  </si>
  <si>
    <t>Mobile data bundles / airtime (10 devices)</t>
  </si>
  <si>
    <t>device</t>
  </si>
  <si>
    <t>Device maintenance &amp; battery</t>
  </si>
  <si>
    <t>Subtotal - H. FCHIIP Data &amp; Digital</t>
  </si>
  <si>
    <t>I. Printing &amp; Registration Materials</t>
  </si>
  <si>
    <t>Registration forms, client health cards, consent &amp; referral slips</t>
  </si>
  <si>
    <t>Subtotal - I. Printing &amp; Registration Materials</t>
  </si>
  <si>
    <t>PER-CAMP GRAND TOTAL  /  ANNUAL GRAND TOTAL (12 CAMPS)</t>
  </si>
  <si>
    <t>Program Overhead, Annual Fixed Costs &amp; One-Time Setup (USD)</t>
  </si>
  <si>
    <t>Costs that run year-round or occur once, outside the per-camp-day budget.</t>
  </si>
  <si>
    <t>SECTION A - Program Management &amp; Overhead (Recurring, Monthly, Year-Round)</t>
  </si>
  <si>
    <t>Monthly Cost (USD)</t>
  </si>
  <si>
    <t>Months/Year</t>
  </si>
  <si>
    <t>Annual Total</t>
  </si>
  <si>
    <t>Program Manager (part-time allocation to this program)</t>
  </si>
  <si>
    <t>month</t>
  </si>
  <si>
    <t>M&amp;E / FCHIIP Systems Officer (part-time)</t>
  </si>
  <si>
    <t>Finance &amp; Administration Support (part-time)</t>
  </si>
  <si>
    <t>Subtotal - Section A (Program Overhead)</t>
  </si>
  <si>
    <t>SECTION B - Annual Fixed Costs (Insurance, Compliance &amp; Communications)</t>
  </si>
  <si>
    <t>Qty</t>
  </si>
  <si>
    <t>Public liability / event insurance</t>
  </si>
  <si>
    <t>year</t>
  </si>
  <si>
    <t>Staff medical malpractice / first-aid liability cover</t>
  </si>
  <si>
    <t>NDA / Ministry of Health regulatory compliance &amp; permits</t>
  </si>
  <si>
    <t>Quarterly report design &amp; printing (for funder)</t>
  </si>
  <si>
    <t>Website / social media impact updates</t>
  </si>
  <si>
    <t>Subtotal - Section B (Annual Fixed Costs)</t>
  </si>
  <si>
    <t>SECTION C - One-Time Setup &amp; Equipment (Year 1 Only)</t>
  </si>
  <si>
    <t>Total</t>
  </si>
  <si>
    <t>Digital blood pressure machines</t>
  </si>
  <si>
    <t>Glucometers + initial test-strip supply</t>
  </si>
  <si>
    <t>Digital thermometers</t>
  </si>
  <si>
    <t>Weighing scales</t>
  </si>
  <si>
    <t>Height measuring boards</t>
  </si>
  <si>
    <t>Folding stretchers / first-aid kits</t>
  </si>
  <si>
    <t>Tablets / smartphones for FCHIIP data capture</t>
  </si>
  <si>
    <t>Solar power bank / charging station</t>
  </si>
  <si>
    <t>Cold box for vaccines / samples</t>
  </si>
  <si>
    <t>Branded staff &amp; volunteer T-shirts/vests/caps</t>
  </si>
  <si>
    <t>ID badges / lanyards</t>
  </si>
  <si>
    <t>FCHIIP platform outreach-module deployment &amp; customization</t>
  </si>
  <si>
    <t>one-time</t>
  </si>
  <si>
    <t>Initial staff &amp; CHW training workshop (2-day)</t>
  </si>
  <si>
    <t>Launch event (kickoff with funding partner, community leaders &amp; press)</t>
  </si>
  <si>
    <t>Subtotal - Section C (One-Time Setup)</t>
  </si>
  <si>
    <t>Key Planning Assumptions</t>
  </si>
  <si>
    <t>These drive every formula in this workbook. Change a yellow cell and every total below recalculates.</t>
  </si>
  <si>
    <t>Assumption</t>
  </si>
  <si>
    <t>Value</t>
  </si>
  <si>
    <t>Notes</t>
  </si>
  <si>
    <t>Program start date</t>
  </si>
  <si>
    <t>Sep 2026</t>
  </si>
  <si>
    <t>Funder indicated September 2026, or October 2026 at the latest.</t>
  </si>
  <si>
    <t>Pilot geography (Year 1)</t>
  </si>
  <si>
    <t>Kampala peri-urban</t>
  </si>
  <si>
    <t>Kyebando-Kisalosalo / Northern Bypass corridor and surrounding peri-urban parishes.</t>
  </si>
  <si>
    <t>Camps per year</t>
  </si>
  <si>
    <t>1 camp per month, rotating across churches, sports centres and schools.</t>
  </si>
  <si>
    <t>Midpoint of the 300-500 target range agreed for Year 1.</t>
  </si>
  <si>
    <t>Contingency rate</t>
  </si>
  <si>
    <t>Applied to the full Year-1 program cost (7%, standard for a first-year pilot).</t>
  </si>
  <si>
    <t>Cell reference key:</t>
  </si>
  <si>
    <t xml:space="preserve">  Camps per year</t>
  </si>
  <si>
    <t>Assumptions!$B$7</t>
  </si>
  <si>
    <t xml:space="preserve">  Average participants / camp</t>
  </si>
  <si>
    <t>Assumptions!$B$8</t>
  </si>
  <si>
    <t xml:space="preserve">  Contingency rate</t>
  </si>
  <si>
    <t>Assumptions!$B$9</t>
  </si>
  <si>
    <t xml:space="preserve">  Beneficiaries reached</t>
  </si>
  <si>
    <t>Assumptions!$B$10</t>
  </si>
  <si>
    <t>Budget Notes &amp; Justification</t>
  </si>
  <si>
    <t>Purpose of this workbook</t>
  </si>
  <si>
    <t>This budget supports the concept note 'FairBanks Community Outreach Program (FairBanks Reach) - Sports &amp; Family Health: A New Component', prepared for a prospective US-based sports-sector funding partner. Sports &amp; Family Health is proposed as a seventh component of the FairBanks Community Outreach Program, alongside its six existing components (Mobile Medical Clinics, Elderly Care Initiative, Health Education, Maternal &amp; Child Health, Free Vaccination Drives, Vision &amp; Dental Care). It covers a Year 1 pilot of 12 monthly camps in Kampala's peri-urban areas, hosted at churches, sports centres and schools. All figures are in US Dollars, presented as planning estimates for the concept/proposal stage.</t>
  </si>
  <si>
    <t>Legal registration</t>
  </si>
  <si>
    <t>Prepared on behalf of FairBanks Medical Centre Limited, registered with the Uganda Revenue Authority (TIN 1053370026), principal place of business at Plot 1423 &amp; 1425, Tirupati Road, Kololo, Kampala, Uganda (per Certificate of Registration, Notice DT-1112, dated 02/07/2026).</t>
  </si>
  <si>
    <t>NOTE 1 - 'Opiate' service line (important compliance clarification)</t>
  </si>
  <si>
    <t>The original service list included 'opiate' alongside first aid, ambulance, massage, drinks and triage. This budget deliberately does NOT include controlled/narcotic opiate medicines. Distributing narcotics at a community outreach requires a resident prescriber holding a controlled-drugs permit and specific licensing under Uganda's National Drug Authority (NDA) and the Narcotic Drugs and Psychotropic Substances (Control) Act - it is not appropriate or legally permissible in a lay-volunteer/CHW-supported outreach camp. Instead, the Drugs &amp; Medical Supplies line funds standard non-narcotic pain management (paracetamol, ibuprofen/NSAIDs) suitable for sports injuries, headaches and general pain - paired with the physiotherapy/massage service for musculoskeletal complaints. If 'opiate' was intended to mean something else (e.g. IV fluids, oxygen therapy, or a specific emergency drug), please flag it and the line item can be re-costed and added with the correct regulatory pathway.</t>
  </si>
  <si>
    <t>Health Workforce rates</t>
  </si>
  <si>
    <t>Day rates are indicative honoraria typical for short-term outreach facilitation of qualified Ugandan health professionals (doctors, clinical officers, nurses, physiotherapists, lab technicians) engaged outside their primary employment, plus CHW/VHT volunteer stipends. Confirm exact rates with FairBanks Medical Centre's HR/clinical team and 2-3 comparator NGOs (e.g. dfcu Bank-Rotary Uganda medical camps, UPDF medical camps) before finalizing with the funder.</t>
  </si>
  <si>
    <t>Drugs &amp; medical supplies</t>
  </si>
  <si>
    <t>Priced as a per-camp kit sized for ~400 participants, assuming roughly 30-40% of attendees receive some medication or dressing. Costed from typical Uganda wholesale pharmaceutical/consumables pricing; FairBanks' own pharmacy/procurement team should confirm against current supplier quotes (e.g. Denk Pharma, an existing FairBanks Reach partner) before the budget is finalized.</t>
  </si>
  <si>
    <t>Ambulance services</t>
  </si>
  <si>
    <t>Costed at USD 180/day for a fully-crewed ambulance (vehicle, driver, paramedic, fuel) on standby, consistent with private ambulance/medical-response providers operating in Kampala. Where FairBanks Medical Centre's own ambulance and crew can be deployed instead of hiring a third party, this line can be reduced or reallocated to fuel and crew overtime only - update cell D-column in the Per-Camp Budget tab accordingly.</t>
  </si>
  <si>
    <t>Fuel &amp; transport</t>
  </si>
  <si>
    <t>Reference pump price used for planning: approximately USD 1.40/litre (petrol), based on Uganda market pricing as of mid-2026 (GlobalPetrolPrices.com). Transport lines bundle fuel with vehicle hire; adjust if FairBanks uses owned vehicles.</t>
  </si>
  <si>
    <t>Massage / sports physiotherapy</t>
  </si>
  <si>
    <t>Directly reflects the funder's sports background: every camp offers on-site sports massage and basic physiotherapy, useful both for athletes from partnering sports centres and for musculoskeletal complaints in the general community - a distinctive, visible service that differentiates this program from a standard medical camp.</t>
  </si>
  <si>
    <t>FCHIIP integration</t>
  </si>
  <si>
    <t>FCHIIP (Fairbanks Community Health Intelligence Platform) is FairBanks Medical Centre's existing data platform (see fairbanksmedicalcentre.org/fchip) - it already supports structured data capture, AI-assisted risk scoring, GIS mapping and offline-capable mobile forms for community health workers. This budget funds the outreach-facing module (10 field tablets, data bundles, deployment/customization) rather than building a platform from scratch, keeping Year 1 technology costs modest.</t>
  </si>
  <si>
    <t>Program management &amp; overhead</t>
  </si>
  <si>
    <t>A part-time Program Manager, M&amp;E/FCHIIP Systems Officer and Finance/Administration Support are budgeted at 12 months to provide continuity, funder reporting, data quality oversight and financial accountability between camps - not just on camp days.</t>
  </si>
  <si>
    <t>Contingency</t>
  </si>
  <si>
    <t>7% is applied to the full Year-1 subtotal (recurring + one-time) to absorb reasonable price movements (e.g. fuel, drug pricing) and unplanned costs, consistent with standard practice for a first-year pilot budget. This is a placeholder and can be adjusted in the Assumptions tab.</t>
  </si>
  <si>
    <t>What is NOT yet included</t>
  </si>
  <si>
    <t>This Year 1 budget deliberately excludes: (1) capital costs of a dedicated outreach vehicle or ambulance purchase, (2) major FCHIIP platform development beyond outreach-module deployment (already built per FairBanks' existing platform), and (3) costs for expansion beyond Kampala's peri-urban areas. See the '3-Year Outlook (Indicative)' tab for a high-level, non-binding view of what geographic scale-up could cost in future years.</t>
  </si>
  <si>
    <t>Verify before submission</t>
  </si>
  <si>
    <t>Every yellow cell in this workbook is an editable input (unit costs, quantities, assumptions). Before sharing with the funder, FairBanks' finance/clinical leads should validate at least: health-worker day rates, drug-kit pricing, and ambulance-hire pricing against 2-3 current local quotes, to keep the figures accurate and defensible.</t>
  </si>
  <si>
    <t>3-Year Geographic Scale-Up Outlook - INDICATIVE, NON-BINDING</t>
  </si>
  <si>
    <t>High-level planning only. Each phase requires its own detailed budget once Year 1 results and in-country partner assessments are available.</t>
  </si>
  <si>
    <t>Phase</t>
  </si>
  <si>
    <t>Geographic Scope</t>
  </si>
  <si>
    <t>Rough Indicative Budget (USD/yr)</t>
  </si>
  <si>
    <t>Year 1 (Pilot)</t>
  </si>
  <si>
    <t>Kampala peri-urban areas only (Kyebando-Kisalosalo / Northern Bypass corridor)</t>
  </si>
  <si>
    <t>The only fully-costed phase - see Annual Summary tab. 12 camps, ~4,800 beneficiaries.</t>
  </si>
  <si>
    <t>Year 2 (Uganda Scale-Up)</t>
  </si>
  <si>
    <t>Add 2-3 further Uganda regions (e.g. Wakiso, Mukono, Jinja peri-urban areas); roughly double camp frequency to ~24/year</t>
  </si>
  <si>
    <t>$95,000 - $115,000</t>
  </si>
  <si>
    <t>Indicative only - assumes similar per-camp cost structure with modest efficiency gains, plus added regional coordination staff and transport. To be re-costed using Year 1 actuals.</t>
  </si>
  <si>
    <t>Year 3 (Regional Pilot)</t>
  </si>
  <si>
    <t>Pilot partnership in one additional country (e.g. Rwanda or eastern DRC border area), alongside continued Uganda operations</t>
  </si>
  <si>
    <t>$150,000 - $190,000</t>
  </si>
  <si>
    <t>Indicative only - depends heavily on in-country partner identification, import/regulatory requirements for drugs and equipment, and currency/logistics costs, none of which are assessed yet. Not for funder budget commitment purposes.</t>
  </si>
  <si>
    <t>Future Vision</t>
  </si>
  <si>
    <t>Full multi-country footprint: Uganda, DRC, Rwanda, Burundi, Tanzania, Malawi</t>
  </si>
  <si>
    <t>Not costed</t>
  </si>
  <si>
    <t>Long-term ambition shared for context; formal budgeting begins only after Year 1-2 results are proven.</t>
  </si>
  <si>
    <t>FCHIP Data &amp; Digital</t>
  </si>
  <si>
    <t>FairBanks Community Outreach Program - Promoting Health through Sports</t>
  </si>
  <si>
    <t>FCHIP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</si>
</sst>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\$#,##0.00"/>
    <numFmt numFmtId="166" formatCode="0.##"/>
    <numFmt numFmtId="167" formatCode="0.0%"/>
  </numFmts>
  <fonts count="13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b/>
      <sz val="18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52514E"/>
      <name val="Arial"/>
      <charset val="1"/>
    </font>
    <font>
      <b/>
      <sz val="10"/>
      <name val="Arial"/>
      <charset val="1"/>
    </font>
    <font>
      <b/>
      <sz val="12"/>
      <color rgb="FFFFFFFF"/>
      <name val="Arial"/>
      <charset val="1"/>
    </font>
    <font>
      <sz val="10"/>
      <color rgb="FF0000FF"/>
      <name val="Arial"/>
      <charset val="1"/>
    </font>
    <font>
      <sz val="10"/>
      <name val="Arial"/>
      <family val="2"/>
    </font>
    <font>
      <b/>
      <sz val="11"/>
      <color rgb="FF0B3D66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0B3D66"/>
        <bgColor rgb="FF333399"/>
      </patternFill>
    </fill>
    <fill>
      <patternFill patternType="solid">
        <fgColor rgb="FF2A78D6"/>
        <bgColor rgb="FF0066CC"/>
      </patternFill>
    </fill>
    <fill>
      <patternFill patternType="solid">
        <fgColor rgb="FF52514E"/>
        <bgColor rgb="FF666699"/>
      </patternFill>
    </fill>
    <fill>
      <patternFill patternType="solid">
        <fgColor rgb="FFD9E6F7"/>
        <bgColor rgb="FFD9D9D9"/>
      </patternFill>
    </fill>
    <fill>
      <patternFill patternType="solid">
        <fgColor rgb="FF1A1A19"/>
        <bgColor rgb="FF0033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C3C2B7"/>
      </left>
      <right style="thin">
        <color rgb="FFC3C2B7"/>
      </right>
      <top style="thin">
        <color rgb="FFC3C2B7"/>
      </top>
      <bottom style="thin">
        <color rgb="FFC3C2B7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164" fontId="6" fillId="0" borderId="1" xfId="0" applyNumberFormat="1" applyFont="1" applyBorder="1"/>
    <xf numFmtId="0" fontId="7" fillId="0" borderId="0" xfId="0" applyFont="1"/>
    <xf numFmtId="0" fontId="7" fillId="0" borderId="1" xfId="0" applyFont="1" applyBorder="1"/>
    <xf numFmtId="0" fontId="8" fillId="5" borderId="1" xfId="0" applyFont="1" applyFill="1" applyBorder="1"/>
    <xf numFmtId="164" fontId="8" fillId="5" borderId="1" xfId="0" applyNumberFormat="1" applyFont="1" applyFill="1" applyBorder="1"/>
    <xf numFmtId="0" fontId="7" fillId="5" borderId="1" xfId="0" applyFont="1" applyFill="1" applyBorder="1"/>
    <xf numFmtId="0" fontId="9" fillId="6" borderId="1" xfId="0" applyFont="1" applyFill="1" applyBorder="1"/>
    <xf numFmtId="164" fontId="9" fillId="6" borderId="1" xfId="0" applyNumberFormat="1" applyFont="1" applyFill="1" applyBorder="1"/>
    <xf numFmtId="0" fontId="0" fillId="6" borderId="1" xfId="0" applyFill="1" applyBorder="1"/>
    <xf numFmtId="1" fontId="6" fillId="0" borderId="1" xfId="0" applyNumberFormat="1" applyFont="1" applyBorder="1"/>
    <xf numFmtId="0" fontId="0" fillId="0" borderId="1" xfId="0" applyBorder="1"/>
    <xf numFmtId="3" fontId="6" fillId="0" borderId="1" xfId="0" applyNumberFormat="1" applyFont="1" applyBorder="1"/>
    <xf numFmtId="165" fontId="6" fillId="0" borderId="1" xfId="0" applyNumberFormat="1" applyFont="1" applyBorder="1"/>
    <xf numFmtId="0" fontId="6" fillId="0" borderId="1" xfId="0" applyFont="1" applyBorder="1" applyAlignment="1">
      <alignment vertical="center" wrapText="1"/>
    </xf>
    <xf numFmtId="165" fontId="10" fillId="7" borderId="1" xfId="0" applyNumberFormat="1" applyFont="1" applyFill="1" applyBorder="1"/>
    <xf numFmtId="166" fontId="10" fillId="7" borderId="1" xfId="0" applyNumberFormat="1" applyFont="1" applyFill="1" applyBorder="1"/>
    <xf numFmtId="165" fontId="8" fillId="5" borderId="1" xfId="0" applyNumberFormat="1" applyFont="1" applyFill="1" applyBorder="1"/>
    <xf numFmtId="165" fontId="9" fillId="6" borderId="1" xfId="0" applyNumberFormat="1" applyFont="1" applyFill="1" applyBorder="1"/>
    <xf numFmtId="1" fontId="10" fillId="7" borderId="1" xfId="0" applyNumberFormat="1" applyFont="1" applyFill="1" applyBorder="1"/>
    <xf numFmtId="0" fontId="10" fillId="7" borderId="1" xfId="0" applyFont="1" applyFill="1" applyBorder="1"/>
    <xf numFmtId="0" fontId="7" fillId="0" borderId="1" xfId="0" applyFont="1" applyBorder="1" applyAlignment="1">
      <alignment vertical="center" wrapText="1"/>
    </xf>
    <xf numFmtId="167" fontId="10" fillId="7" borderId="1" xfId="0" applyNumberFormat="1" applyFont="1" applyFill="1" applyBorder="1"/>
    <xf numFmtId="3" fontId="8" fillId="5" borderId="1" xfId="0" applyNumberFormat="1" applyFont="1" applyFill="1" applyBorder="1"/>
    <xf numFmtId="0" fontId="0" fillId="5" borderId="1" xfId="0" applyFill="1" applyBorder="1"/>
    <xf numFmtId="0" fontId="12" fillId="0" borderId="0" xfId="0" applyFont="1"/>
    <xf numFmtId="0" fontId="6" fillId="0" borderId="0" xfId="0" applyFont="1" applyAlignment="1">
      <alignment vertical="top" wrapText="1"/>
    </xf>
    <xf numFmtId="0" fontId="8" fillId="0" borderId="1" xfId="0" applyFont="1" applyBorder="1"/>
    <xf numFmtId="0" fontId="6" fillId="0" borderId="1" xfId="0" applyFont="1" applyBorder="1" applyAlignment="1">
      <alignment vertical="top" wrapText="1"/>
    </xf>
    <xf numFmtId="164" fontId="6" fillId="0" borderId="1" xfId="0" applyNumberFormat="1" applyFont="1" applyBorder="1" applyAlignment="1">
      <alignment horizontal="center" vertical="top"/>
    </xf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/>
    </xf>
    <xf numFmtId="0" fontId="5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8" fillId="5" borderId="1" xfId="0" applyFont="1" applyFill="1" applyBorder="1" applyAlignment="1">
      <alignment horizontal="right" indent="1"/>
    </xf>
    <xf numFmtId="0" fontId="9" fillId="6" borderId="1" xfId="0" applyFont="1" applyFill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C2B7"/>
      <rgbColor rgb="FF878787"/>
      <rgbColor rgb="FF9999FF"/>
      <rgbColor rgb="FF993366"/>
      <rgbColor rgb="FFFFFFCC"/>
      <rgbColor rgb="FFD9E6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666699"/>
      <rgbColor rgb="FF969696"/>
      <rgbColor rgb="FF0B3D66"/>
      <rgbColor rgb="FF339966"/>
      <rgbColor rgb="FF003300"/>
      <rgbColor rgb="FF1A1A19"/>
      <rgbColor rgb="FF993300"/>
      <rgbColor rgb="FF993366"/>
      <rgbColor rgb="FF333399"/>
      <rgbColor rgb="FF5251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Annual Cost by Category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Dashboard!$B$8</c:f>
              <c:strCache>
                <c:ptCount val="1"/>
                <c:pt idx="0">
                  <c:v>Annual Amount (USD)</c:v>
                </c:pt>
              </c:strCache>
            </c:strRef>
          </c:tx>
          <c:spPr>
            <a:solidFill>
              <a:srgbClr val="2A78D6"/>
            </a:solidFill>
            <a:ln w="936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Dashboard!$A$9:$A$21</c:f>
              <c:strCache>
                <c:ptCount val="13"/>
                <c:pt idx="0">
                  <c:v>Health Workforce</c:v>
                </c:pt>
                <c:pt idx="1">
                  <c:v>Drugs &amp; Medical Supplies</c:v>
                </c:pt>
                <c:pt idx="2">
                  <c:v>Sports Massage &amp; Physiotherapy</c:v>
                </c:pt>
                <c:pt idx="3">
                  <c:v>Hydration &amp; Refreshments</c:v>
                </c:pt>
                <c:pt idx="4">
                  <c:v>Ambulance &amp; Emergency Referral</c:v>
                </c:pt>
                <c:pt idx="5">
                  <c:v>Venue, Logistics &amp; Equipment</c:v>
                </c:pt>
                <c:pt idx="6">
                  <c:v>Community Mobilization</c:v>
                </c:pt>
                <c:pt idx="7">
                  <c:v>FCHIP Data &amp; Digital</c:v>
                </c:pt>
                <c:pt idx="8">
                  <c:v>FCHIP development</c:v>
                </c:pt>
                <c:pt idx="9">
                  <c:v>Printing &amp; Registration</c:v>
                </c:pt>
                <c:pt idx="10">
                  <c:v>Program Management &amp; Overhead</c:v>
                </c:pt>
                <c:pt idx="11">
                  <c:v>Annual Fixed Costs (Insurance/Compliance)</c:v>
                </c:pt>
                <c:pt idx="12">
                  <c:v>One-Time Setup &amp; Equipment</c:v>
                </c:pt>
              </c:strCache>
            </c:strRef>
          </c:cat>
          <c:val>
            <c:numRef>
              <c:f>Dashboard!$B$9:$B$21</c:f>
              <c:numCache>
                <c:formatCode>\$#,##0</c:formatCode>
                <c:ptCount val="13"/>
                <c:pt idx="0">
                  <c:v>7860</c:v>
                </c:pt>
                <c:pt idx="1">
                  <c:v>10560</c:v>
                </c:pt>
                <c:pt idx="2">
                  <c:v>720</c:v>
                </c:pt>
                <c:pt idx="3">
                  <c:v>2550</c:v>
                </c:pt>
                <c:pt idx="4">
                  <c:v>2160</c:v>
                </c:pt>
                <c:pt idx="5">
                  <c:v>6660</c:v>
                </c:pt>
                <c:pt idx="6">
                  <c:v>2760</c:v>
                </c:pt>
                <c:pt idx="7">
                  <c:v>480</c:v>
                </c:pt>
                <c:pt idx="8">
                  <c:v>3300</c:v>
                </c:pt>
                <c:pt idx="9">
                  <c:v>420</c:v>
                </c:pt>
                <c:pt idx="10">
                  <c:v>5400</c:v>
                </c:pt>
                <c:pt idx="11">
                  <c:v>1250</c:v>
                </c:pt>
                <c:pt idx="12">
                  <c:v>6320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1-4622-9134-9BDA95FFE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87316097"/>
        <c:axId val="28545106"/>
      </c:barChart>
      <c:catAx>
        <c:axId val="8731609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G"/>
          </a:p>
        </c:txPr>
        <c:crossAx val="28545106"/>
        <c:crosses val="autoZero"/>
        <c:auto val="1"/>
        <c:lblAlgn val="ctr"/>
        <c:lblOffset val="100"/>
        <c:noMultiLvlLbl val="0"/>
      </c:catAx>
      <c:valAx>
        <c:axId val="2854510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G"/>
          </a:p>
        </c:txPr>
        <c:crossAx val="873160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13</xdr:col>
      <xdr:colOff>51840</xdr:colOff>
      <xdr:row>19</xdr:row>
      <xdr:rowOff>39240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zoomScaleNormal="100" workbookViewId="0">
      <pane ySplit="4" topLeftCell="A9" activePane="bottomLeft" state="frozen"/>
      <selection pane="bottomLeft" activeCell="C20" sqref="C20"/>
    </sheetView>
  </sheetViews>
  <sheetFormatPr defaultColWidth="8.6328125" defaultRowHeight="14.5" x14ac:dyDescent="0.35"/>
  <cols>
    <col min="1" max="1" width="38" customWidth="1"/>
    <col min="2" max="5" width="16" customWidth="1"/>
  </cols>
  <sheetData>
    <row r="1" spans="1:10" ht="27.75" customHeight="1" x14ac:dyDescent="0.35">
      <c r="A1" s="41" t="s">
        <v>233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x14ac:dyDescent="0.35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</row>
    <row r="4" spans="1:10" ht="30" customHeight="1" x14ac:dyDescent="0.35">
      <c r="A4" s="2" t="s">
        <v>1</v>
      </c>
      <c r="B4" s="2" t="s">
        <v>2</v>
      </c>
      <c r="C4" s="2" t="s">
        <v>3</v>
      </c>
      <c r="D4" s="2" t="s">
        <v>4</v>
      </c>
    </row>
    <row r="5" spans="1:10" ht="31.5" customHeight="1" x14ac:dyDescent="0.35">
      <c r="A5" s="3">
        <f>'Annual Summary'!$B$13</f>
        <v>50439.8</v>
      </c>
      <c r="B5" s="4">
        <f>Assumptions!$B$7</f>
        <v>12</v>
      </c>
      <c r="C5" s="5">
        <f>Assumptions!$B$10</f>
        <v>4800</v>
      </c>
      <c r="D5" s="6">
        <f>'Annual Summary'!$B$21</f>
        <v>10.508291666666667</v>
      </c>
    </row>
    <row r="7" spans="1:10" x14ac:dyDescent="0.35">
      <c r="A7" s="40" t="s">
        <v>5</v>
      </c>
      <c r="B7" s="40"/>
    </row>
    <row r="8" spans="1:10" ht="26" x14ac:dyDescent="0.35">
      <c r="A8" s="7" t="s">
        <v>6</v>
      </c>
      <c r="B8" s="7" t="s">
        <v>7</v>
      </c>
    </row>
    <row r="9" spans="1:10" x14ac:dyDescent="0.35">
      <c r="A9" s="8" t="s">
        <v>8</v>
      </c>
      <c r="B9" s="9">
        <f>'Per-Camp Budget'!G18</f>
        <v>7860</v>
      </c>
    </row>
    <row r="10" spans="1:10" x14ac:dyDescent="0.35">
      <c r="A10" s="8" t="s">
        <v>9</v>
      </c>
      <c r="B10" s="9">
        <f>'Per-Camp Budget'!G24</f>
        <v>10560</v>
      </c>
    </row>
    <row r="11" spans="1:10" x14ac:dyDescent="0.35">
      <c r="A11" s="8" t="s">
        <v>10</v>
      </c>
      <c r="B11" s="9">
        <f>'Per-Camp Budget'!G28</f>
        <v>720</v>
      </c>
    </row>
    <row r="12" spans="1:10" x14ac:dyDescent="0.35">
      <c r="A12" s="8" t="s">
        <v>11</v>
      </c>
      <c r="B12" s="9">
        <f>'Per-Camp Budget'!G34</f>
        <v>2550</v>
      </c>
    </row>
    <row r="13" spans="1:10" x14ac:dyDescent="0.35">
      <c r="A13" s="8" t="s">
        <v>12</v>
      </c>
      <c r="B13" s="9">
        <f>'Per-Camp Budget'!G37</f>
        <v>2160</v>
      </c>
    </row>
    <row r="14" spans="1:10" x14ac:dyDescent="0.35">
      <c r="A14" s="8" t="s">
        <v>13</v>
      </c>
      <c r="B14" s="9">
        <f>'Per-Camp Budget'!G46</f>
        <v>6660</v>
      </c>
    </row>
    <row r="15" spans="1:10" x14ac:dyDescent="0.35">
      <c r="A15" s="8" t="s">
        <v>14</v>
      </c>
      <c r="B15" s="9">
        <f>'Per-Camp Budget'!G52</f>
        <v>2760</v>
      </c>
    </row>
    <row r="16" spans="1:10" x14ac:dyDescent="0.35">
      <c r="A16" s="8" t="s">
        <v>232</v>
      </c>
      <c r="B16" s="9">
        <f>'Per-Camp Budget'!G56</f>
        <v>480</v>
      </c>
    </row>
    <row r="17" spans="1:2" x14ac:dyDescent="0.35">
      <c r="A17" s="8" t="s">
        <v>234</v>
      </c>
      <c r="B17" s="9">
        <v>3300</v>
      </c>
    </row>
    <row r="18" spans="1:2" x14ac:dyDescent="0.35">
      <c r="A18" s="8" t="s">
        <v>15</v>
      </c>
      <c r="B18" s="9">
        <f>'Per-Camp Budget'!G59</f>
        <v>420</v>
      </c>
    </row>
    <row r="19" spans="1:2" x14ac:dyDescent="0.35">
      <c r="A19" s="8" t="s">
        <v>16</v>
      </c>
      <c r="B19" s="9">
        <f>'Overhead Fixed &amp; Setup'!$E$9</f>
        <v>5400</v>
      </c>
    </row>
    <row r="20" spans="1:2" x14ac:dyDescent="0.35">
      <c r="A20" s="8" t="s">
        <v>17</v>
      </c>
      <c r="B20" s="9">
        <f>'Overhead Fixed &amp; Setup'!$E$18</f>
        <v>1250</v>
      </c>
    </row>
    <row r="21" spans="1:2" x14ac:dyDescent="0.35">
      <c r="A21" s="8" t="s">
        <v>18</v>
      </c>
      <c r="B21" s="9">
        <f>'Overhead Fixed &amp; Setup'!$E$36</f>
        <v>6320</v>
      </c>
    </row>
    <row r="23" spans="1:2" x14ac:dyDescent="0.35">
      <c r="A23" s="10" t="s">
        <v>19</v>
      </c>
    </row>
  </sheetData>
  <mergeCells count="3">
    <mergeCell ref="A7:B7"/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zoomScaleNormal="100" workbookViewId="0">
      <pane ySplit="4" topLeftCell="A5" activePane="bottomLeft" state="frozen"/>
      <selection pane="bottomLeft" sqref="A1:C1"/>
    </sheetView>
  </sheetViews>
  <sheetFormatPr defaultColWidth="8.6328125" defaultRowHeight="14.5" x14ac:dyDescent="0.35"/>
  <cols>
    <col min="1" max="1" width="50" customWidth="1"/>
    <col min="2" max="2" width="20" customWidth="1"/>
    <col min="3" max="3" width="45" customWidth="1"/>
  </cols>
  <sheetData>
    <row r="1" spans="1:3" ht="27.75" customHeight="1" x14ac:dyDescent="0.35">
      <c r="A1" s="43" t="s">
        <v>20</v>
      </c>
      <c r="B1" s="43"/>
      <c r="C1" s="43"/>
    </row>
    <row r="2" spans="1:3" x14ac:dyDescent="0.35">
      <c r="A2" s="44" t="s">
        <v>21</v>
      </c>
      <c r="B2" s="44"/>
      <c r="C2" s="44"/>
    </row>
    <row r="4" spans="1:3" x14ac:dyDescent="0.35">
      <c r="A4" s="7" t="s">
        <v>22</v>
      </c>
      <c r="B4" s="7" t="s">
        <v>23</v>
      </c>
      <c r="C4" s="7" t="s">
        <v>24</v>
      </c>
    </row>
    <row r="5" spans="1:3" x14ac:dyDescent="0.35">
      <c r="A5" s="8" t="s">
        <v>25</v>
      </c>
      <c r="B5" s="9">
        <f>'Per-Camp Budget'!$G$61</f>
        <v>34170</v>
      </c>
      <c r="C5" s="11" t="s">
        <v>26</v>
      </c>
    </row>
    <row r="6" spans="1:3" x14ac:dyDescent="0.35">
      <c r="A6" s="8" t="s">
        <v>27</v>
      </c>
      <c r="B6" s="9">
        <f>'Overhead Fixed &amp; Setup'!$E$9</f>
        <v>5400</v>
      </c>
      <c r="C6" s="11" t="s">
        <v>28</v>
      </c>
    </row>
    <row r="7" spans="1:3" x14ac:dyDescent="0.35">
      <c r="A7" s="8" t="s">
        <v>29</v>
      </c>
      <c r="B7" s="9">
        <f>'Overhead Fixed &amp; Setup'!$E$18</f>
        <v>1250</v>
      </c>
      <c r="C7" s="11" t="s">
        <v>30</v>
      </c>
    </row>
    <row r="8" spans="1:3" x14ac:dyDescent="0.35">
      <c r="A8" s="12" t="s">
        <v>31</v>
      </c>
      <c r="B8" s="13">
        <f>B5+B6+B7</f>
        <v>40820</v>
      </c>
      <c r="C8" s="14" t="s">
        <v>32</v>
      </c>
    </row>
    <row r="9" spans="1:3" x14ac:dyDescent="0.35">
      <c r="A9" s="8" t="s">
        <v>33</v>
      </c>
      <c r="B9" s="9">
        <f>'Overhead Fixed &amp; Setup'!$E$36</f>
        <v>6320</v>
      </c>
      <c r="C9" s="11" t="s">
        <v>34</v>
      </c>
    </row>
    <row r="10" spans="1:3" x14ac:dyDescent="0.35">
      <c r="A10" s="12" t="s">
        <v>35</v>
      </c>
      <c r="B10" s="13">
        <f>B8+B9</f>
        <v>47140</v>
      </c>
      <c r="C10" s="14" t="s">
        <v>36</v>
      </c>
    </row>
    <row r="11" spans="1:3" x14ac:dyDescent="0.35">
      <c r="A11" s="8" t="s">
        <v>37</v>
      </c>
      <c r="B11" s="9">
        <f>B10*Assumptions!$B$9</f>
        <v>3299.8</v>
      </c>
      <c r="C11" s="11" t="s">
        <v>38</v>
      </c>
    </row>
    <row r="13" spans="1:3" ht="15.5" x14ac:dyDescent="0.35">
      <c r="A13" s="15" t="s">
        <v>39</v>
      </c>
      <c r="B13" s="16">
        <f>B10+B11</f>
        <v>50439.8</v>
      </c>
      <c r="C13" s="17"/>
    </row>
    <row r="16" spans="1:3" x14ac:dyDescent="0.35">
      <c r="A16" s="40" t="s">
        <v>40</v>
      </c>
      <c r="B16" s="40"/>
      <c r="C16" s="40"/>
    </row>
    <row r="17" spans="1:3" x14ac:dyDescent="0.35">
      <c r="A17" s="8" t="s">
        <v>41</v>
      </c>
      <c r="B17" s="18">
        <f>Assumptions!$B$7</f>
        <v>12</v>
      </c>
      <c r="C17" s="19"/>
    </row>
    <row r="18" spans="1:3" x14ac:dyDescent="0.35">
      <c r="A18" s="8" t="s">
        <v>42</v>
      </c>
      <c r="B18" s="20">
        <f>Assumptions!$B$8</f>
        <v>400</v>
      </c>
      <c r="C18" s="19"/>
    </row>
    <row r="19" spans="1:3" x14ac:dyDescent="0.35">
      <c r="A19" s="8" t="s">
        <v>43</v>
      </c>
      <c r="B19" s="20">
        <f>Assumptions!$B$10</f>
        <v>4800</v>
      </c>
      <c r="C19" s="19"/>
    </row>
    <row r="20" spans="1:3" x14ac:dyDescent="0.35">
      <c r="A20" s="8" t="s">
        <v>44</v>
      </c>
      <c r="B20" s="21">
        <f>B13/Assumptions!$B$7</f>
        <v>4203.3166666666666</v>
      </c>
      <c r="C20" s="19"/>
    </row>
    <row r="21" spans="1:3" x14ac:dyDescent="0.35">
      <c r="A21" s="8" t="s">
        <v>45</v>
      </c>
      <c r="B21" s="21">
        <f>B13/Assumptions!$B$10</f>
        <v>10.508291666666667</v>
      </c>
      <c r="C21" s="19"/>
    </row>
  </sheetData>
  <mergeCells count="3">
    <mergeCell ref="A1:C1"/>
    <mergeCell ref="A2:C2"/>
    <mergeCell ref="A16:C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"/>
  <sheetViews>
    <sheetView zoomScaleNormal="100" workbookViewId="0">
      <pane ySplit="4" topLeftCell="A45" activePane="bottomLeft" state="frozen"/>
      <selection pane="bottomLeft" sqref="A1:G1"/>
    </sheetView>
  </sheetViews>
  <sheetFormatPr defaultColWidth="8.6328125" defaultRowHeight="14.5" x14ac:dyDescent="0.35"/>
  <cols>
    <col min="1" max="1" width="30" customWidth="1"/>
    <col min="2" max="2" width="55" customWidth="1"/>
    <col min="3" max="3" width="12" customWidth="1"/>
    <col min="4" max="4" width="14" customWidth="1"/>
    <col min="5" max="5" width="12" customWidth="1"/>
    <col min="6" max="6" width="16" customWidth="1"/>
    <col min="7" max="7" width="18" customWidth="1"/>
  </cols>
  <sheetData>
    <row r="1" spans="1:7" ht="27.75" customHeight="1" x14ac:dyDescent="0.35">
      <c r="A1" s="43" t="s">
        <v>46</v>
      </c>
      <c r="B1" s="43"/>
      <c r="C1" s="43"/>
      <c r="D1" s="43"/>
      <c r="E1" s="43"/>
      <c r="F1" s="43"/>
      <c r="G1" s="43"/>
    </row>
    <row r="2" spans="1:7" x14ac:dyDescent="0.35">
      <c r="A2" s="44" t="s">
        <v>47</v>
      </c>
      <c r="B2" s="44"/>
      <c r="C2" s="44"/>
      <c r="D2" s="44"/>
      <c r="E2" s="44"/>
      <c r="F2" s="44"/>
      <c r="G2" s="44"/>
    </row>
    <row r="4" spans="1:7" ht="26" x14ac:dyDescent="0.35">
      <c r="A4" s="7" t="s">
        <v>6</v>
      </c>
      <c r="B4" s="7" t="s">
        <v>48</v>
      </c>
      <c r="C4" s="7" t="s">
        <v>49</v>
      </c>
      <c r="D4" s="7" t="s">
        <v>50</v>
      </c>
      <c r="E4" s="7" t="s">
        <v>51</v>
      </c>
      <c r="F4" s="7" t="s">
        <v>52</v>
      </c>
      <c r="G4" s="7" t="s">
        <v>53</v>
      </c>
    </row>
    <row r="5" spans="1:7" ht="15.75" customHeight="1" x14ac:dyDescent="0.35">
      <c r="A5" s="45" t="s">
        <v>54</v>
      </c>
      <c r="B5" s="45"/>
      <c r="C5" s="45"/>
      <c r="D5" s="45"/>
      <c r="E5" s="45"/>
      <c r="F5" s="45"/>
      <c r="G5" s="45"/>
    </row>
    <row r="6" spans="1:7" x14ac:dyDescent="0.35">
      <c r="A6" s="19"/>
      <c r="B6" s="22" t="s">
        <v>55</v>
      </c>
      <c r="C6" s="8" t="s">
        <v>56</v>
      </c>
      <c r="D6" s="23">
        <v>70</v>
      </c>
      <c r="E6" s="24">
        <v>1</v>
      </c>
      <c r="F6" s="21">
        <f t="shared" ref="F6:F17" si="0">D6*E6</f>
        <v>70</v>
      </c>
      <c r="G6" s="9">
        <f>F6*Assumptions!$B$7</f>
        <v>840</v>
      </c>
    </row>
    <row r="7" spans="1:7" x14ac:dyDescent="0.35">
      <c r="A7" s="19"/>
      <c r="B7" s="22" t="s">
        <v>57</v>
      </c>
      <c r="C7" s="8" t="s">
        <v>56</v>
      </c>
      <c r="D7" s="23">
        <v>45</v>
      </c>
      <c r="E7" s="24">
        <v>1</v>
      </c>
      <c r="F7" s="21">
        <f t="shared" si="0"/>
        <v>45</v>
      </c>
      <c r="G7" s="9">
        <f>F7*Assumptions!$B$7</f>
        <v>540</v>
      </c>
    </row>
    <row r="8" spans="1:7" x14ac:dyDescent="0.35">
      <c r="A8" s="19"/>
      <c r="B8" s="22" t="s">
        <v>58</v>
      </c>
      <c r="C8" s="8" t="s">
        <v>56</v>
      </c>
      <c r="D8" s="23">
        <v>30</v>
      </c>
      <c r="E8" s="24">
        <v>3</v>
      </c>
      <c r="F8" s="21">
        <f t="shared" si="0"/>
        <v>90</v>
      </c>
      <c r="G8" s="9">
        <f>F8*Assumptions!$B$7</f>
        <v>1080</v>
      </c>
    </row>
    <row r="9" spans="1:7" x14ac:dyDescent="0.35">
      <c r="A9" s="19"/>
      <c r="B9" s="22" t="s">
        <v>59</v>
      </c>
      <c r="C9" s="8" t="s">
        <v>56</v>
      </c>
      <c r="D9" s="23">
        <v>35</v>
      </c>
      <c r="E9" s="24">
        <v>2</v>
      </c>
      <c r="F9" s="21">
        <f t="shared" si="0"/>
        <v>70</v>
      </c>
      <c r="G9" s="9">
        <f>F9*Assumptions!$B$7</f>
        <v>840</v>
      </c>
    </row>
    <row r="10" spans="1:7" x14ac:dyDescent="0.35">
      <c r="A10" s="19"/>
      <c r="B10" s="22" t="s">
        <v>60</v>
      </c>
      <c r="C10" s="8" t="s">
        <v>56</v>
      </c>
      <c r="D10" s="23">
        <v>35</v>
      </c>
      <c r="E10" s="24">
        <v>1</v>
      </c>
      <c r="F10" s="21">
        <f t="shared" si="0"/>
        <v>35</v>
      </c>
      <c r="G10" s="9">
        <f>F10*Assumptions!$B$7</f>
        <v>420</v>
      </c>
    </row>
    <row r="11" spans="1:7" x14ac:dyDescent="0.35">
      <c r="A11" s="19"/>
      <c r="B11" s="22" t="s">
        <v>61</v>
      </c>
      <c r="C11" s="8" t="s">
        <v>56</v>
      </c>
      <c r="D11" s="23">
        <v>35</v>
      </c>
      <c r="E11" s="24">
        <v>1</v>
      </c>
      <c r="F11" s="21">
        <f t="shared" si="0"/>
        <v>35</v>
      </c>
      <c r="G11" s="9">
        <f>F11*Assumptions!$B$7</f>
        <v>420</v>
      </c>
    </row>
    <row r="12" spans="1:7" x14ac:dyDescent="0.35">
      <c r="A12" s="19"/>
      <c r="B12" s="22" t="s">
        <v>62</v>
      </c>
      <c r="C12" s="8" t="s">
        <v>56</v>
      </c>
      <c r="D12" s="23">
        <v>25</v>
      </c>
      <c r="E12" s="24">
        <v>2</v>
      </c>
      <c r="F12" s="21">
        <f t="shared" si="0"/>
        <v>50</v>
      </c>
      <c r="G12" s="9">
        <f>F12*Assumptions!$B$7</f>
        <v>600</v>
      </c>
    </row>
    <row r="13" spans="1:7" ht="25" x14ac:dyDescent="0.35">
      <c r="A13" s="19"/>
      <c r="B13" s="22" t="s">
        <v>63</v>
      </c>
      <c r="C13" s="8" t="s">
        <v>56</v>
      </c>
      <c r="D13" s="23">
        <v>25</v>
      </c>
      <c r="E13" s="24">
        <v>2</v>
      </c>
      <c r="F13" s="21">
        <f t="shared" si="0"/>
        <v>50</v>
      </c>
      <c r="G13" s="9">
        <f>F13*Assumptions!$B$7</f>
        <v>600</v>
      </c>
    </row>
    <row r="14" spans="1:7" x14ac:dyDescent="0.35">
      <c r="A14" s="19"/>
      <c r="B14" s="22" t="s">
        <v>64</v>
      </c>
      <c r="C14" s="8" t="s">
        <v>56</v>
      </c>
      <c r="D14" s="23">
        <v>20</v>
      </c>
      <c r="E14" s="24">
        <v>2</v>
      </c>
      <c r="F14" s="21">
        <f t="shared" si="0"/>
        <v>40</v>
      </c>
      <c r="G14" s="9">
        <f>F14*Assumptions!$B$7</f>
        <v>480</v>
      </c>
    </row>
    <row r="15" spans="1:7" x14ac:dyDescent="0.35">
      <c r="A15" s="19"/>
      <c r="B15" s="22" t="s">
        <v>65</v>
      </c>
      <c r="C15" s="8" t="s">
        <v>56</v>
      </c>
      <c r="D15" s="23">
        <v>60</v>
      </c>
      <c r="E15" s="24">
        <v>1</v>
      </c>
      <c r="F15" s="21">
        <f t="shared" si="0"/>
        <v>60</v>
      </c>
      <c r="G15" s="9">
        <f>F15*Assumptions!$B$7</f>
        <v>720</v>
      </c>
    </row>
    <row r="16" spans="1:7" x14ac:dyDescent="0.35">
      <c r="A16" s="19"/>
      <c r="B16" s="22" t="s">
        <v>66</v>
      </c>
      <c r="C16" s="8" t="s">
        <v>56</v>
      </c>
      <c r="D16" s="23">
        <v>15</v>
      </c>
      <c r="E16" s="24">
        <v>2</v>
      </c>
      <c r="F16" s="21">
        <f t="shared" si="0"/>
        <v>30</v>
      </c>
      <c r="G16" s="9">
        <f>F16*Assumptions!$B$7</f>
        <v>360</v>
      </c>
    </row>
    <row r="17" spans="1:7" x14ac:dyDescent="0.35">
      <c r="A17" s="19"/>
      <c r="B17" s="22" t="s">
        <v>67</v>
      </c>
      <c r="C17" s="8" t="s">
        <v>56</v>
      </c>
      <c r="D17" s="23">
        <v>10</v>
      </c>
      <c r="E17" s="24">
        <v>8</v>
      </c>
      <c r="F17" s="21">
        <f t="shared" si="0"/>
        <v>80</v>
      </c>
      <c r="G17" s="9">
        <f>F17*Assumptions!$B$7</f>
        <v>960</v>
      </c>
    </row>
    <row r="18" spans="1:7" x14ac:dyDescent="0.35">
      <c r="A18" s="46" t="s">
        <v>68</v>
      </c>
      <c r="B18" s="46"/>
      <c r="C18" s="46"/>
      <c r="D18" s="46"/>
      <c r="E18" s="46"/>
      <c r="F18" s="25">
        <f>SUM(F6:F17)</f>
        <v>655</v>
      </c>
      <c r="G18" s="13">
        <f>SUM(G6:G17)</f>
        <v>7860</v>
      </c>
    </row>
    <row r="19" spans="1:7" ht="15.75" customHeight="1" x14ac:dyDescent="0.35">
      <c r="A19" s="45" t="s">
        <v>69</v>
      </c>
      <c r="B19" s="45"/>
      <c r="C19" s="45"/>
      <c r="D19" s="45"/>
      <c r="E19" s="45"/>
      <c r="F19" s="45"/>
      <c r="G19" s="45"/>
    </row>
    <row r="20" spans="1:7" ht="50" x14ac:dyDescent="0.35">
      <c r="A20" s="19"/>
      <c r="B20" s="22" t="s">
        <v>70</v>
      </c>
      <c r="C20" s="8" t="s">
        <v>71</v>
      </c>
      <c r="D20" s="23">
        <v>650</v>
      </c>
      <c r="E20" s="24">
        <v>1</v>
      </c>
      <c r="F20" s="21">
        <f>D20*E20</f>
        <v>650</v>
      </c>
      <c r="G20" s="9">
        <f>F20*Assumptions!$B$7</f>
        <v>7800</v>
      </c>
    </row>
    <row r="21" spans="1:7" ht="25" x14ac:dyDescent="0.35">
      <c r="A21" s="19"/>
      <c r="B21" s="22" t="s">
        <v>72</v>
      </c>
      <c r="C21" s="8" t="s">
        <v>73</v>
      </c>
      <c r="D21" s="23">
        <v>120</v>
      </c>
      <c r="E21" s="24">
        <v>1</v>
      </c>
      <c r="F21" s="21">
        <f>D21*E21</f>
        <v>120</v>
      </c>
      <c r="G21" s="9">
        <f>F21*Assumptions!$B$7</f>
        <v>1440</v>
      </c>
    </row>
    <row r="22" spans="1:7" x14ac:dyDescent="0.35">
      <c r="A22" s="19"/>
      <c r="B22" s="22" t="s">
        <v>74</v>
      </c>
      <c r="C22" s="8" t="s">
        <v>75</v>
      </c>
      <c r="D22" s="23">
        <v>90</v>
      </c>
      <c r="E22" s="24">
        <v>1</v>
      </c>
      <c r="F22" s="21">
        <f>D22*E22</f>
        <v>90</v>
      </c>
      <c r="G22" s="9">
        <f>F22*Assumptions!$B$7</f>
        <v>1080</v>
      </c>
    </row>
    <row r="23" spans="1:7" x14ac:dyDescent="0.35">
      <c r="A23" s="19"/>
      <c r="B23" s="22" t="s">
        <v>76</v>
      </c>
      <c r="C23" s="8" t="s">
        <v>73</v>
      </c>
      <c r="D23" s="23">
        <v>20</v>
      </c>
      <c r="E23" s="24">
        <v>1</v>
      </c>
      <c r="F23" s="21">
        <f>D23*E23</f>
        <v>20</v>
      </c>
      <c r="G23" s="9">
        <f>F23*Assumptions!$B$7</f>
        <v>240</v>
      </c>
    </row>
    <row r="24" spans="1:7" x14ac:dyDescent="0.35">
      <c r="A24" s="46" t="s">
        <v>77</v>
      </c>
      <c r="B24" s="46"/>
      <c r="C24" s="46"/>
      <c r="D24" s="46"/>
      <c r="E24" s="46"/>
      <c r="F24" s="25">
        <f>SUM(F20:F23)</f>
        <v>880</v>
      </c>
      <c r="G24" s="13">
        <f>SUM(G20:G23)</f>
        <v>10560</v>
      </c>
    </row>
    <row r="25" spans="1:7" ht="15.75" customHeight="1" x14ac:dyDescent="0.35">
      <c r="A25" s="45" t="s">
        <v>78</v>
      </c>
      <c r="B25" s="45"/>
      <c r="C25" s="45"/>
      <c r="D25" s="45"/>
      <c r="E25" s="45"/>
      <c r="F25" s="45"/>
      <c r="G25" s="45"/>
    </row>
    <row r="26" spans="1:7" x14ac:dyDescent="0.35">
      <c r="A26" s="19"/>
      <c r="B26" s="22" t="s">
        <v>79</v>
      </c>
      <c r="C26" s="8" t="s">
        <v>73</v>
      </c>
      <c r="D26" s="23">
        <v>35</v>
      </c>
      <c r="E26" s="24">
        <v>1</v>
      </c>
      <c r="F26" s="21">
        <f>D26*E26</f>
        <v>35</v>
      </c>
      <c r="G26" s="9">
        <f>F26*Assumptions!$B$7</f>
        <v>420</v>
      </c>
    </row>
    <row r="27" spans="1:7" x14ac:dyDescent="0.35">
      <c r="A27" s="19"/>
      <c r="B27" s="22" t="s">
        <v>80</v>
      </c>
      <c r="C27" s="8" t="s">
        <v>73</v>
      </c>
      <c r="D27" s="23">
        <v>25</v>
      </c>
      <c r="E27" s="24">
        <v>1</v>
      </c>
      <c r="F27" s="21">
        <f>D27*E27</f>
        <v>25</v>
      </c>
      <c r="G27" s="9">
        <f>F27*Assumptions!$B$7</f>
        <v>300</v>
      </c>
    </row>
    <row r="28" spans="1:7" x14ac:dyDescent="0.35">
      <c r="A28" s="46" t="s">
        <v>81</v>
      </c>
      <c r="B28" s="46"/>
      <c r="C28" s="46"/>
      <c r="D28" s="46"/>
      <c r="E28" s="46"/>
      <c r="F28" s="25">
        <f>SUM(F26:F27)</f>
        <v>60</v>
      </c>
      <c r="G28" s="13">
        <f>SUM(G26:G27)</f>
        <v>720</v>
      </c>
    </row>
    <row r="29" spans="1:7" ht="15.75" customHeight="1" x14ac:dyDescent="0.35">
      <c r="A29" s="45" t="s">
        <v>82</v>
      </c>
      <c r="B29" s="45"/>
      <c r="C29" s="45"/>
      <c r="D29" s="45"/>
      <c r="E29" s="45"/>
      <c r="F29" s="45"/>
      <c r="G29" s="45"/>
    </row>
    <row r="30" spans="1:7" x14ac:dyDescent="0.35">
      <c r="A30" s="19"/>
      <c r="B30" s="22" t="s">
        <v>83</v>
      </c>
      <c r="C30" s="8" t="s">
        <v>84</v>
      </c>
      <c r="D30" s="23">
        <v>0.25</v>
      </c>
      <c r="E30" s="24">
        <v>450</v>
      </c>
      <c r="F30" s="21">
        <f>D30*E30</f>
        <v>112.5</v>
      </c>
      <c r="G30" s="9">
        <f>F30*Assumptions!$B$7</f>
        <v>1350</v>
      </c>
    </row>
    <row r="31" spans="1:7" x14ac:dyDescent="0.35">
      <c r="A31" s="19"/>
      <c r="B31" s="22" t="s">
        <v>85</v>
      </c>
      <c r="C31" s="8" t="s">
        <v>86</v>
      </c>
      <c r="D31" s="23">
        <v>0.2</v>
      </c>
      <c r="E31" s="24">
        <v>200</v>
      </c>
      <c r="F31" s="21">
        <f>D31*E31</f>
        <v>40</v>
      </c>
      <c r="G31" s="9">
        <f>F31*Assumptions!$B$7</f>
        <v>480</v>
      </c>
    </row>
    <row r="32" spans="1:7" x14ac:dyDescent="0.35">
      <c r="A32" s="19"/>
      <c r="B32" s="22" t="s">
        <v>87</v>
      </c>
      <c r="C32" s="8" t="s">
        <v>84</v>
      </c>
      <c r="D32" s="23">
        <v>0.3</v>
      </c>
      <c r="E32" s="24">
        <v>150</v>
      </c>
      <c r="F32" s="21">
        <f>D32*E32</f>
        <v>45</v>
      </c>
      <c r="G32" s="9">
        <f>F32*Assumptions!$B$7</f>
        <v>540</v>
      </c>
    </row>
    <row r="33" spans="1:7" x14ac:dyDescent="0.35">
      <c r="A33" s="19"/>
      <c r="B33" s="22" t="s">
        <v>88</v>
      </c>
      <c r="C33" s="8" t="s">
        <v>73</v>
      </c>
      <c r="D33" s="23">
        <v>15</v>
      </c>
      <c r="E33" s="24">
        <v>1</v>
      </c>
      <c r="F33" s="21">
        <f>D33*E33</f>
        <v>15</v>
      </c>
      <c r="G33" s="9">
        <f>F33*Assumptions!$B$7</f>
        <v>180</v>
      </c>
    </row>
    <row r="34" spans="1:7" x14ac:dyDescent="0.35">
      <c r="A34" s="46" t="s">
        <v>89</v>
      </c>
      <c r="B34" s="46"/>
      <c r="C34" s="46"/>
      <c r="D34" s="46"/>
      <c r="E34" s="46"/>
      <c r="F34" s="25">
        <f>SUM(F30:F33)</f>
        <v>212.5</v>
      </c>
      <c r="G34" s="13">
        <f>SUM(G30:G33)</f>
        <v>2550</v>
      </c>
    </row>
    <row r="35" spans="1:7" ht="15.75" customHeight="1" x14ac:dyDescent="0.35">
      <c r="A35" s="45" t="s">
        <v>90</v>
      </c>
      <c r="B35" s="45"/>
      <c r="C35" s="45"/>
      <c r="D35" s="45"/>
      <c r="E35" s="45"/>
      <c r="F35" s="45"/>
      <c r="G35" s="45"/>
    </row>
    <row r="36" spans="1:7" x14ac:dyDescent="0.35">
      <c r="A36" s="19"/>
      <c r="B36" s="22" t="s">
        <v>91</v>
      </c>
      <c r="C36" s="8" t="s">
        <v>56</v>
      </c>
      <c r="D36" s="23">
        <v>180</v>
      </c>
      <c r="E36" s="24">
        <v>1</v>
      </c>
      <c r="F36" s="21">
        <f>D36*E36</f>
        <v>180</v>
      </c>
      <c r="G36" s="9">
        <f>F36*Assumptions!$B$7</f>
        <v>2160</v>
      </c>
    </row>
    <row r="37" spans="1:7" x14ac:dyDescent="0.35">
      <c r="A37" s="46" t="s">
        <v>92</v>
      </c>
      <c r="B37" s="46"/>
      <c r="C37" s="46"/>
      <c r="D37" s="46"/>
      <c r="E37" s="46"/>
      <c r="F37" s="25">
        <f>SUM(F36:F36)</f>
        <v>180</v>
      </c>
      <c r="G37" s="13">
        <f>SUM(G36:G36)</f>
        <v>2160</v>
      </c>
    </row>
    <row r="38" spans="1:7" ht="15.75" customHeight="1" x14ac:dyDescent="0.35">
      <c r="A38" s="45" t="s">
        <v>93</v>
      </c>
      <c r="B38" s="45"/>
      <c r="C38" s="45"/>
      <c r="D38" s="45"/>
      <c r="E38" s="45"/>
      <c r="F38" s="45"/>
      <c r="G38" s="45"/>
    </row>
    <row r="39" spans="1:7" x14ac:dyDescent="0.35">
      <c r="A39" s="19"/>
      <c r="B39" s="22" t="s">
        <v>94</v>
      </c>
      <c r="C39" s="8" t="s">
        <v>86</v>
      </c>
      <c r="D39" s="23">
        <v>75</v>
      </c>
      <c r="E39" s="24">
        <v>2</v>
      </c>
      <c r="F39" s="21">
        <f t="shared" ref="F39:F45" si="1">D39*E39</f>
        <v>150</v>
      </c>
      <c r="G39" s="9">
        <f>F39*Assumptions!$B$7</f>
        <v>1800</v>
      </c>
    </row>
    <row r="40" spans="1:7" x14ac:dyDescent="0.35">
      <c r="A40" s="19"/>
      <c r="B40" s="22" t="s">
        <v>95</v>
      </c>
      <c r="C40" s="8" t="s">
        <v>73</v>
      </c>
      <c r="D40" s="23">
        <v>80</v>
      </c>
      <c r="E40" s="24">
        <v>1</v>
      </c>
      <c r="F40" s="21">
        <f t="shared" si="1"/>
        <v>80</v>
      </c>
      <c r="G40" s="9">
        <f>F40*Assumptions!$B$7</f>
        <v>960</v>
      </c>
    </row>
    <row r="41" spans="1:7" x14ac:dyDescent="0.35">
      <c r="A41" s="19"/>
      <c r="B41" s="22" t="s">
        <v>96</v>
      </c>
      <c r="C41" s="8" t="s">
        <v>73</v>
      </c>
      <c r="D41" s="23">
        <v>60</v>
      </c>
      <c r="E41" s="24">
        <v>1</v>
      </c>
      <c r="F41" s="21">
        <f t="shared" si="1"/>
        <v>60</v>
      </c>
      <c r="G41" s="9">
        <f>F41*Assumptions!$B$7</f>
        <v>720</v>
      </c>
    </row>
    <row r="42" spans="1:7" x14ac:dyDescent="0.35">
      <c r="A42" s="19"/>
      <c r="B42" s="22" t="s">
        <v>97</v>
      </c>
      <c r="C42" s="8" t="s">
        <v>73</v>
      </c>
      <c r="D42" s="23">
        <v>50</v>
      </c>
      <c r="E42" s="24">
        <v>1</v>
      </c>
      <c r="F42" s="21">
        <f t="shared" si="1"/>
        <v>50</v>
      </c>
      <c r="G42" s="9">
        <f>F42*Assumptions!$B$7</f>
        <v>600</v>
      </c>
    </row>
    <row r="43" spans="1:7" x14ac:dyDescent="0.35">
      <c r="A43" s="19"/>
      <c r="B43" s="22" t="s">
        <v>98</v>
      </c>
      <c r="C43" s="8" t="s">
        <v>73</v>
      </c>
      <c r="D43" s="23">
        <v>40</v>
      </c>
      <c r="E43" s="24">
        <v>1</v>
      </c>
      <c r="F43" s="21">
        <f t="shared" si="1"/>
        <v>40</v>
      </c>
      <c r="G43" s="9">
        <f>F43*Assumptions!$B$7</f>
        <v>480</v>
      </c>
    </row>
    <row r="44" spans="1:7" x14ac:dyDescent="0.35">
      <c r="A44" s="19"/>
      <c r="B44" s="22" t="s">
        <v>99</v>
      </c>
      <c r="C44" s="8" t="s">
        <v>100</v>
      </c>
      <c r="D44" s="23">
        <v>75</v>
      </c>
      <c r="E44" s="24">
        <v>2</v>
      </c>
      <c r="F44" s="21">
        <f t="shared" si="1"/>
        <v>150</v>
      </c>
      <c r="G44" s="9">
        <f>F44*Assumptions!$B$7</f>
        <v>1800</v>
      </c>
    </row>
    <row r="45" spans="1:7" x14ac:dyDescent="0.35">
      <c r="A45" s="19"/>
      <c r="B45" s="22" t="s">
        <v>101</v>
      </c>
      <c r="C45" s="8" t="s">
        <v>102</v>
      </c>
      <c r="D45" s="23">
        <v>25</v>
      </c>
      <c r="E45" s="24">
        <v>1</v>
      </c>
      <c r="F45" s="21">
        <f t="shared" si="1"/>
        <v>25</v>
      </c>
      <c r="G45" s="9">
        <f>F45*Assumptions!$B$7</f>
        <v>300</v>
      </c>
    </row>
    <row r="46" spans="1:7" x14ac:dyDescent="0.35">
      <c r="A46" s="46" t="s">
        <v>103</v>
      </c>
      <c r="B46" s="46"/>
      <c r="C46" s="46"/>
      <c r="D46" s="46"/>
      <c r="E46" s="46"/>
      <c r="F46" s="25">
        <f>SUM(F39:F45)</f>
        <v>555</v>
      </c>
      <c r="G46" s="13">
        <f>SUM(G39:G45)</f>
        <v>6660</v>
      </c>
    </row>
    <row r="47" spans="1:7" ht="15.75" customHeight="1" x14ac:dyDescent="0.35">
      <c r="A47" s="45" t="s">
        <v>104</v>
      </c>
      <c r="B47" s="45"/>
      <c r="C47" s="45"/>
      <c r="D47" s="45"/>
      <c r="E47" s="45"/>
      <c r="F47" s="45"/>
      <c r="G47" s="45"/>
    </row>
    <row r="48" spans="1:7" x14ac:dyDescent="0.35">
      <c r="A48" s="19"/>
      <c r="B48" s="22" t="s">
        <v>105</v>
      </c>
      <c r="C48" s="8" t="s">
        <v>106</v>
      </c>
      <c r="D48" s="23">
        <v>4</v>
      </c>
      <c r="E48" s="24">
        <v>25</v>
      </c>
      <c r="F48" s="21">
        <f>D48*E48</f>
        <v>100</v>
      </c>
      <c r="G48" s="9">
        <f>F48*Assumptions!$B$7</f>
        <v>1200</v>
      </c>
    </row>
    <row r="49" spans="1:7" ht="25" x14ac:dyDescent="0.35">
      <c r="A49" s="19"/>
      <c r="B49" s="22" t="s">
        <v>107</v>
      </c>
      <c r="C49" s="8" t="s">
        <v>108</v>
      </c>
      <c r="D49" s="23">
        <v>50</v>
      </c>
      <c r="E49" s="24">
        <v>1</v>
      </c>
      <c r="F49" s="21">
        <f>D49*E49</f>
        <v>50</v>
      </c>
      <c r="G49" s="9">
        <f>F49*Assumptions!$B$7</f>
        <v>600</v>
      </c>
    </row>
    <row r="50" spans="1:7" x14ac:dyDescent="0.35">
      <c r="A50" s="19"/>
      <c r="B50" s="22" t="s">
        <v>109</v>
      </c>
      <c r="C50" s="8" t="s">
        <v>110</v>
      </c>
      <c r="D50" s="23">
        <v>30</v>
      </c>
      <c r="E50" s="24">
        <v>1</v>
      </c>
      <c r="F50" s="21">
        <f>D50*E50</f>
        <v>30</v>
      </c>
      <c r="G50" s="9">
        <f>F50*Assumptions!$B$7</f>
        <v>360</v>
      </c>
    </row>
    <row r="51" spans="1:7" x14ac:dyDescent="0.35">
      <c r="A51" s="19"/>
      <c r="B51" s="22" t="s">
        <v>111</v>
      </c>
      <c r="C51" s="8" t="s">
        <v>73</v>
      </c>
      <c r="D51" s="23">
        <v>50</v>
      </c>
      <c r="E51" s="24">
        <v>1</v>
      </c>
      <c r="F51" s="21">
        <f>D51*E51</f>
        <v>50</v>
      </c>
      <c r="G51" s="9">
        <f>F51*Assumptions!$B$7</f>
        <v>600</v>
      </c>
    </row>
    <row r="52" spans="1:7" x14ac:dyDescent="0.35">
      <c r="A52" s="46" t="s">
        <v>112</v>
      </c>
      <c r="B52" s="46"/>
      <c r="C52" s="46"/>
      <c r="D52" s="46"/>
      <c r="E52" s="46"/>
      <c r="F52" s="25">
        <f>SUM(F48:F51)</f>
        <v>230</v>
      </c>
      <c r="G52" s="13">
        <f>SUM(G48:G51)</f>
        <v>2760</v>
      </c>
    </row>
    <row r="53" spans="1:7" ht="15.75" customHeight="1" x14ac:dyDescent="0.35">
      <c r="A53" s="45" t="s">
        <v>113</v>
      </c>
      <c r="B53" s="45"/>
      <c r="C53" s="45"/>
      <c r="D53" s="45"/>
      <c r="E53" s="45"/>
      <c r="F53" s="45"/>
      <c r="G53" s="45"/>
    </row>
    <row r="54" spans="1:7" x14ac:dyDescent="0.35">
      <c r="A54" s="19"/>
      <c r="B54" s="22" t="s">
        <v>114</v>
      </c>
      <c r="C54" s="8" t="s">
        <v>115</v>
      </c>
      <c r="D54" s="23">
        <v>3</v>
      </c>
      <c r="E54" s="24">
        <v>10</v>
      </c>
      <c r="F54" s="21">
        <f>D54*E54</f>
        <v>30</v>
      </c>
      <c r="G54" s="9">
        <f>F54*Assumptions!$B$7</f>
        <v>360</v>
      </c>
    </row>
    <row r="55" spans="1:7" x14ac:dyDescent="0.35">
      <c r="A55" s="19"/>
      <c r="B55" s="22" t="s">
        <v>116</v>
      </c>
      <c r="C55" s="8" t="s">
        <v>73</v>
      </c>
      <c r="D55" s="23">
        <v>10</v>
      </c>
      <c r="E55" s="24">
        <v>1</v>
      </c>
      <c r="F55" s="21">
        <f>D55*E55</f>
        <v>10</v>
      </c>
      <c r="G55" s="9">
        <f>F55*Assumptions!$B$7</f>
        <v>120</v>
      </c>
    </row>
    <row r="56" spans="1:7" x14ac:dyDescent="0.35">
      <c r="A56" s="46" t="s">
        <v>117</v>
      </c>
      <c r="B56" s="46"/>
      <c r="C56" s="46"/>
      <c r="D56" s="46"/>
      <c r="E56" s="46"/>
      <c r="F56" s="25">
        <f>SUM(F54:F55)</f>
        <v>40</v>
      </c>
      <c r="G56" s="13">
        <f>SUM(G54:G55)</f>
        <v>480</v>
      </c>
    </row>
    <row r="57" spans="1:7" ht="15.75" customHeight="1" x14ac:dyDescent="0.35">
      <c r="A57" s="45" t="s">
        <v>118</v>
      </c>
      <c r="B57" s="45"/>
      <c r="C57" s="45"/>
      <c r="D57" s="45"/>
      <c r="E57" s="45"/>
      <c r="F57" s="45"/>
      <c r="G57" s="45"/>
    </row>
    <row r="58" spans="1:7" x14ac:dyDescent="0.35">
      <c r="A58" s="19"/>
      <c r="B58" s="22" t="s">
        <v>119</v>
      </c>
      <c r="C58" s="8" t="s">
        <v>73</v>
      </c>
      <c r="D58" s="23">
        <v>35</v>
      </c>
      <c r="E58" s="24">
        <v>1</v>
      </c>
      <c r="F58" s="21">
        <f>D58*E58</f>
        <v>35</v>
      </c>
      <c r="G58" s="9">
        <f>F58*Assumptions!$B$7</f>
        <v>420</v>
      </c>
    </row>
    <row r="59" spans="1:7" x14ac:dyDescent="0.35">
      <c r="A59" s="46" t="s">
        <v>120</v>
      </c>
      <c r="B59" s="46"/>
      <c r="C59" s="46"/>
      <c r="D59" s="46"/>
      <c r="E59" s="46"/>
      <c r="F59" s="25">
        <f>SUM(F58:F58)</f>
        <v>35</v>
      </c>
      <c r="G59" s="13">
        <f>SUM(G58:G58)</f>
        <v>420</v>
      </c>
    </row>
    <row r="61" spans="1:7" ht="15.5" x14ac:dyDescent="0.35">
      <c r="A61" s="47" t="s">
        <v>121</v>
      </c>
      <c r="B61" s="47"/>
      <c r="C61" s="47"/>
      <c r="D61" s="47"/>
      <c r="E61" s="47"/>
      <c r="F61" s="26">
        <f>F18+F24+F28+F34+F37+F46+F52+F56+F59</f>
        <v>2847.5</v>
      </c>
      <c r="G61" s="16">
        <f>G18+G24+G28+G34+G37+G46+G52+G56+G59</f>
        <v>34170</v>
      </c>
    </row>
  </sheetData>
  <mergeCells count="21">
    <mergeCell ref="A61:E61"/>
    <mergeCell ref="A52:E52"/>
    <mergeCell ref="A53:G53"/>
    <mergeCell ref="A56:E56"/>
    <mergeCell ref="A57:G57"/>
    <mergeCell ref="A59:E59"/>
    <mergeCell ref="A35:G35"/>
    <mergeCell ref="A37:E37"/>
    <mergeCell ref="A38:G38"/>
    <mergeCell ref="A46:E46"/>
    <mergeCell ref="A47:G47"/>
    <mergeCell ref="A24:E24"/>
    <mergeCell ref="A25:G25"/>
    <mergeCell ref="A28:E28"/>
    <mergeCell ref="A29:G29"/>
    <mergeCell ref="A34:E34"/>
    <mergeCell ref="A1:G1"/>
    <mergeCell ref="A2:G2"/>
    <mergeCell ref="A5:G5"/>
    <mergeCell ref="A18:E18"/>
    <mergeCell ref="A19:G19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6"/>
  <sheetViews>
    <sheetView zoomScaleNormal="100" workbookViewId="0">
      <pane ySplit="4" topLeftCell="A16" activePane="bottomLeft" state="frozen"/>
      <selection pane="bottomLeft" sqref="A1:E1"/>
    </sheetView>
  </sheetViews>
  <sheetFormatPr defaultColWidth="8.6328125" defaultRowHeight="14.5" x14ac:dyDescent="0.35"/>
  <cols>
    <col min="1" max="1" width="55" customWidth="1"/>
    <col min="2" max="2" width="12" customWidth="1"/>
    <col min="3" max="3" width="16" customWidth="1"/>
    <col min="4" max="4" width="10" customWidth="1"/>
    <col min="5" max="5" width="16" customWidth="1"/>
  </cols>
  <sheetData>
    <row r="1" spans="1:5" ht="27.75" customHeight="1" x14ac:dyDescent="0.35">
      <c r="A1" s="43" t="s">
        <v>122</v>
      </c>
      <c r="B1" s="43"/>
      <c r="C1" s="43"/>
      <c r="D1" s="43"/>
      <c r="E1" s="43"/>
    </row>
    <row r="2" spans="1:5" x14ac:dyDescent="0.35">
      <c r="A2" s="44" t="s">
        <v>123</v>
      </c>
      <c r="B2" s="44"/>
      <c r="C2" s="44"/>
      <c r="D2" s="44"/>
      <c r="E2" s="44"/>
    </row>
    <row r="4" spans="1:5" x14ac:dyDescent="0.35">
      <c r="A4" s="40" t="s">
        <v>124</v>
      </c>
      <c r="B4" s="40"/>
      <c r="C4" s="40"/>
      <c r="D4" s="40"/>
      <c r="E4" s="40"/>
    </row>
    <row r="5" spans="1:5" ht="26" x14ac:dyDescent="0.35">
      <c r="A5" s="7" t="s">
        <v>48</v>
      </c>
      <c r="B5" s="7" t="s">
        <v>49</v>
      </c>
      <c r="C5" s="7" t="s">
        <v>125</v>
      </c>
      <c r="D5" s="7" t="s">
        <v>126</v>
      </c>
      <c r="E5" s="7" t="s">
        <v>127</v>
      </c>
    </row>
    <row r="6" spans="1:5" x14ac:dyDescent="0.35">
      <c r="A6" s="22" t="s">
        <v>128</v>
      </c>
      <c r="B6" s="8" t="s">
        <v>129</v>
      </c>
      <c r="C6" s="23">
        <v>200</v>
      </c>
      <c r="D6" s="18">
        <f>Assumptions!$B$7</f>
        <v>12</v>
      </c>
      <c r="E6" s="9">
        <f>C6*D6</f>
        <v>2400</v>
      </c>
    </row>
    <row r="7" spans="1:5" x14ac:dyDescent="0.35">
      <c r="A7" s="22" t="s">
        <v>130</v>
      </c>
      <c r="B7" s="8" t="s">
        <v>129</v>
      </c>
      <c r="C7" s="23">
        <v>150</v>
      </c>
      <c r="D7" s="18">
        <f>Assumptions!$B$7</f>
        <v>12</v>
      </c>
      <c r="E7" s="9">
        <f>C7*D7</f>
        <v>1800</v>
      </c>
    </row>
    <row r="8" spans="1:5" x14ac:dyDescent="0.35">
      <c r="A8" s="22" t="s">
        <v>131</v>
      </c>
      <c r="B8" s="8" t="s">
        <v>129</v>
      </c>
      <c r="C8" s="23">
        <v>100</v>
      </c>
      <c r="D8" s="18">
        <f>Assumptions!$B$7</f>
        <v>12</v>
      </c>
      <c r="E8" s="9">
        <f>C8*D8</f>
        <v>1200</v>
      </c>
    </row>
    <row r="9" spans="1:5" x14ac:dyDescent="0.35">
      <c r="A9" s="46" t="s">
        <v>132</v>
      </c>
      <c r="B9" s="46"/>
      <c r="C9" s="46"/>
      <c r="D9" s="46"/>
      <c r="E9" s="13">
        <f>SUM(E6:E8)</f>
        <v>5400</v>
      </c>
    </row>
    <row r="11" spans="1:5" x14ac:dyDescent="0.35">
      <c r="A11" s="40" t="s">
        <v>133</v>
      </c>
      <c r="B11" s="40"/>
      <c r="C11" s="40"/>
      <c r="D11" s="40"/>
      <c r="E11" s="40"/>
    </row>
    <row r="12" spans="1:5" x14ac:dyDescent="0.35">
      <c r="A12" s="7" t="s">
        <v>48</v>
      </c>
      <c r="B12" s="7" t="s">
        <v>49</v>
      </c>
      <c r="C12" s="7" t="s">
        <v>50</v>
      </c>
      <c r="D12" s="7" t="s">
        <v>134</v>
      </c>
      <c r="E12" s="7" t="s">
        <v>127</v>
      </c>
    </row>
    <row r="13" spans="1:5" x14ac:dyDescent="0.35">
      <c r="A13" s="22" t="s">
        <v>135</v>
      </c>
      <c r="B13" s="8" t="s">
        <v>136</v>
      </c>
      <c r="C13" s="23">
        <v>400</v>
      </c>
      <c r="D13" s="27">
        <v>1</v>
      </c>
      <c r="E13" s="9">
        <f>C13*D13</f>
        <v>400</v>
      </c>
    </row>
    <row r="14" spans="1:5" x14ac:dyDescent="0.35">
      <c r="A14" s="22" t="s">
        <v>137</v>
      </c>
      <c r="B14" s="8" t="s">
        <v>136</v>
      </c>
      <c r="C14" s="23">
        <v>300</v>
      </c>
      <c r="D14" s="27">
        <v>1</v>
      </c>
      <c r="E14" s="9">
        <f>C14*D14</f>
        <v>300</v>
      </c>
    </row>
    <row r="15" spans="1:5" x14ac:dyDescent="0.35">
      <c r="A15" s="22" t="s">
        <v>138</v>
      </c>
      <c r="B15" s="8" t="s">
        <v>136</v>
      </c>
      <c r="C15" s="23">
        <v>200</v>
      </c>
      <c r="D15" s="27">
        <v>1</v>
      </c>
      <c r="E15" s="9">
        <f>C15*D15</f>
        <v>200</v>
      </c>
    </row>
    <row r="16" spans="1:5" x14ac:dyDescent="0.35">
      <c r="A16" s="22" t="s">
        <v>139</v>
      </c>
      <c r="B16" s="8" t="s">
        <v>136</v>
      </c>
      <c r="C16" s="23">
        <v>200</v>
      </c>
      <c r="D16" s="27">
        <v>1</v>
      </c>
      <c r="E16" s="9">
        <f>C16*D16</f>
        <v>200</v>
      </c>
    </row>
    <row r="17" spans="1:5" x14ac:dyDescent="0.35">
      <c r="A17" s="22" t="s">
        <v>140</v>
      </c>
      <c r="B17" s="8" t="s">
        <v>136</v>
      </c>
      <c r="C17" s="23">
        <v>150</v>
      </c>
      <c r="D17" s="27">
        <v>1</v>
      </c>
      <c r="E17" s="9">
        <f>C17*D17</f>
        <v>150</v>
      </c>
    </row>
    <row r="18" spans="1:5" x14ac:dyDescent="0.35">
      <c r="A18" s="46" t="s">
        <v>141</v>
      </c>
      <c r="B18" s="46"/>
      <c r="C18" s="46"/>
      <c r="D18" s="46"/>
      <c r="E18" s="13">
        <f>SUM(E13:E17)</f>
        <v>1250</v>
      </c>
    </row>
    <row r="20" spans="1:5" x14ac:dyDescent="0.35">
      <c r="A20" s="40" t="s">
        <v>142</v>
      </c>
      <c r="B20" s="40"/>
      <c r="C20" s="40"/>
      <c r="D20" s="40"/>
      <c r="E20" s="40"/>
    </row>
    <row r="21" spans="1:5" x14ac:dyDescent="0.35">
      <c r="A21" s="7" t="s">
        <v>48</v>
      </c>
      <c r="B21" s="7" t="s">
        <v>49</v>
      </c>
      <c r="C21" s="7" t="s">
        <v>50</v>
      </c>
      <c r="D21" s="7" t="s">
        <v>134</v>
      </c>
      <c r="E21" s="7" t="s">
        <v>143</v>
      </c>
    </row>
    <row r="22" spans="1:5" x14ac:dyDescent="0.35">
      <c r="A22" s="22" t="s">
        <v>144</v>
      </c>
      <c r="B22" s="8" t="s">
        <v>86</v>
      </c>
      <c r="C22" s="23">
        <v>60</v>
      </c>
      <c r="D22" s="27">
        <v>4</v>
      </c>
      <c r="E22" s="9">
        <f t="shared" ref="E22:E35" si="0">C22*D22</f>
        <v>240</v>
      </c>
    </row>
    <row r="23" spans="1:5" x14ac:dyDescent="0.35">
      <c r="A23" s="22" t="s">
        <v>145</v>
      </c>
      <c r="B23" s="8" t="s">
        <v>86</v>
      </c>
      <c r="C23" s="23">
        <v>50</v>
      </c>
      <c r="D23" s="27">
        <v>4</v>
      </c>
      <c r="E23" s="9">
        <f t="shared" si="0"/>
        <v>200</v>
      </c>
    </row>
    <row r="24" spans="1:5" x14ac:dyDescent="0.35">
      <c r="A24" s="22" t="s">
        <v>146</v>
      </c>
      <c r="B24" s="8" t="s">
        <v>86</v>
      </c>
      <c r="C24" s="23">
        <v>15</v>
      </c>
      <c r="D24" s="27">
        <v>6</v>
      </c>
      <c r="E24" s="9">
        <f t="shared" si="0"/>
        <v>90</v>
      </c>
    </row>
    <row r="25" spans="1:5" x14ac:dyDescent="0.35">
      <c r="A25" s="22" t="s">
        <v>147</v>
      </c>
      <c r="B25" s="8" t="s">
        <v>86</v>
      </c>
      <c r="C25" s="23">
        <v>40</v>
      </c>
      <c r="D25" s="27">
        <v>2</v>
      </c>
      <c r="E25" s="9">
        <f t="shared" si="0"/>
        <v>80</v>
      </c>
    </row>
    <row r="26" spans="1:5" x14ac:dyDescent="0.35">
      <c r="A26" s="22" t="s">
        <v>148</v>
      </c>
      <c r="B26" s="8" t="s">
        <v>86</v>
      </c>
      <c r="C26" s="23">
        <v>30</v>
      </c>
      <c r="D26" s="27">
        <v>2</v>
      </c>
      <c r="E26" s="9">
        <f t="shared" si="0"/>
        <v>60</v>
      </c>
    </row>
    <row r="27" spans="1:5" x14ac:dyDescent="0.35">
      <c r="A27" s="22" t="s">
        <v>149</v>
      </c>
      <c r="B27" s="8" t="s">
        <v>86</v>
      </c>
      <c r="C27" s="23">
        <v>80</v>
      </c>
      <c r="D27" s="27">
        <v>2</v>
      </c>
      <c r="E27" s="9">
        <f t="shared" si="0"/>
        <v>160</v>
      </c>
    </row>
    <row r="28" spans="1:5" x14ac:dyDescent="0.35">
      <c r="A28" s="22" t="s">
        <v>150</v>
      </c>
      <c r="B28" s="8" t="s">
        <v>86</v>
      </c>
      <c r="C28" s="23">
        <v>150</v>
      </c>
      <c r="D28" s="27">
        <v>10</v>
      </c>
      <c r="E28" s="9">
        <f t="shared" si="0"/>
        <v>1500</v>
      </c>
    </row>
    <row r="29" spans="1:5" x14ac:dyDescent="0.35">
      <c r="A29" s="22" t="s">
        <v>151</v>
      </c>
      <c r="B29" s="8" t="s">
        <v>86</v>
      </c>
      <c r="C29" s="23">
        <v>60</v>
      </c>
      <c r="D29" s="27">
        <v>2</v>
      </c>
      <c r="E29" s="9">
        <f t="shared" si="0"/>
        <v>120</v>
      </c>
    </row>
    <row r="30" spans="1:5" x14ac:dyDescent="0.35">
      <c r="A30" s="22" t="s">
        <v>152</v>
      </c>
      <c r="B30" s="8" t="s">
        <v>86</v>
      </c>
      <c r="C30" s="23">
        <v>70</v>
      </c>
      <c r="D30" s="27">
        <v>2</v>
      </c>
      <c r="E30" s="9">
        <f t="shared" si="0"/>
        <v>140</v>
      </c>
    </row>
    <row r="31" spans="1:5" x14ac:dyDescent="0.35">
      <c r="A31" s="22" t="s">
        <v>153</v>
      </c>
      <c r="B31" s="8" t="s">
        <v>86</v>
      </c>
      <c r="C31" s="23">
        <v>8</v>
      </c>
      <c r="D31" s="27">
        <v>30</v>
      </c>
      <c r="E31" s="9">
        <f t="shared" si="0"/>
        <v>240</v>
      </c>
    </row>
    <row r="32" spans="1:5" x14ac:dyDescent="0.35">
      <c r="A32" s="22" t="s">
        <v>154</v>
      </c>
      <c r="B32" s="8" t="s">
        <v>86</v>
      </c>
      <c r="C32" s="23">
        <v>3</v>
      </c>
      <c r="D32" s="27">
        <v>30</v>
      </c>
      <c r="E32" s="9">
        <f t="shared" si="0"/>
        <v>90</v>
      </c>
    </row>
    <row r="33" spans="1:5" x14ac:dyDescent="0.35">
      <c r="A33" s="22" t="s">
        <v>155</v>
      </c>
      <c r="B33" s="8" t="s">
        <v>156</v>
      </c>
      <c r="C33" s="23">
        <v>2000</v>
      </c>
      <c r="D33" s="27">
        <v>1</v>
      </c>
      <c r="E33" s="9">
        <f t="shared" si="0"/>
        <v>2000</v>
      </c>
    </row>
    <row r="34" spans="1:5" x14ac:dyDescent="0.35">
      <c r="A34" s="22" t="s">
        <v>157</v>
      </c>
      <c r="B34" s="8" t="s">
        <v>156</v>
      </c>
      <c r="C34" s="23">
        <v>600</v>
      </c>
      <c r="D34" s="27">
        <v>1</v>
      </c>
      <c r="E34" s="9">
        <f t="shared" si="0"/>
        <v>600</v>
      </c>
    </row>
    <row r="35" spans="1:5" ht="25" x14ac:dyDescent="0.35">
      <c r="A35" s="22" t="s">
        <v>158</v>
      </c>
      <c r="B35" s="8" t="s">
        <v>156</v>
      </c>
      <c r="C35" s="23">
        <v>800</v>
      </c>
      <c r="D35" s="27">
        <v>1</v>
      </c>
      <c r="E35" s="9">
        <f t="shared" si="0"/>
        <v>800</v>
      </c>
    </row>
    <row r="36" spans="1:5" x14ac:dyDescent="0.35">
      <c r="A36" s="46" t="s">
        <v>159</v>
      </c>
      <c r="B36" s="46"/>
      <c r="C36" s="46"/>
      <c r="D36" s="46"/>
      <c r="E36" s="13">
        <f>SUM(E22:E35)</f>
        <v>6320</v>
      </c>
    </row>
  </sheetData>
  <mergeCells count="8">
    <mergeCell ref="A18:D18"/>
    <mergeCell ref="A20:E20"/>
    <mergeCell ref="A36:D36"/>
    <mergeCell ref="A1:E1"/>
    <mergeCell ref="A2:E2"/>
    <mergeCell ref="A4:E4"/>
    <mergeCell ref="A9:D9"/>
    <mergeCell ref="A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zoomScaleNormal="100" workbookViewId="0">
      <pane ySplit="4" topLeftCell="A5" activePane="bottomLeft" state="frozen"/>
      <selection pane="bottomLeft" activeCell="A12" sqref="A12"/>
    </sheetView>
  </sheetViews>
  <sheetFormatPr defaultColWidth="8.6328125" defaultRowHeight="14.5" x14ac:dyDescent="0.35"/>
  <cols>
    <col min="1" max="1" width="40" customWidth="1"/>
    <col min="2" max="2" width="18" customWidth="1"/>
    <col min="3" max="3" width="60" customWidth="1"/>
  </cols>
  <sheetData>
    <row r="1" spans="1:3" ht="27.75" customHeight="1" x14ac:dyDescent="0.35">
      <c r="A1" s="43" t="s">
        <v>160</v>
      </c>
      <c r="B1" s="43"/>
      <c r="C1" s="43"/>
    </row>
    <row r="2" spans="1:3" x14ac:dyDescent="0.35">
      <c r="A2" s="44" t="s">
        <v>161</v>
      </c>
      <c r="B2" s="44"/>
      <c r="C2" s="44"/>
    </row>
    <row r="4" spans="1:3" x14ac:dyDescent="0.35">
      <c r="A4" s="7" t="s">
        <v>162</v>
      </c>
      <c r="B4" s="7" t="s">
        <v>163</v>
      </c>
      <c r="C4" s="7" t="s">
        <v>164</v>
      </c>
    </row>
    <row r="5" spans="1:3" x14ac:dyDescent="0.35">
      <c r="A5" s="8" t="s">
        <v>165</v>
      </c>
      <c r="B5" s="28" t="s">
        <v>166</v>
      </c>
      <c r="C5" s="29" t="s">
        <v>167</v>
      </c>
    </row>
    <row r="6" spans="1:3" ht="24" x14ac:dyDescent="0.35">
      <c r="A6" s="8" t="s">
        <v>168</v>
      </c>
      <c r="B6" s="28" t="s">
        <v>169</v>
      </c>
      <c r="C6" s="29" t="s">
        <v>170</v>
      </c>
    </row>
    <row r="7" spans="1:3" x14ac:dyDescent="0.35">
      <c r="A7" s="8" t="s">
        <v>171</v>
      </c>
      <c r="B7" s="27">
        <v>12</v>
      </c>
      <c r="C7" s="29" t="s">
        <v>172</v>
      </c>
    </row>
    <row r="8" spans="1:3" x14ac:dyDescent="0.35">
      <c r="A8" s="8" t="s">
        <v>42</v>
      </c>
      <c r="B8" s="27">
        <v>400</v>
      </c>
      <c r="C8" s="29" t="s">
        <v>173</v>
      </c>
    </row>
    <row r="9" spans="1:3" x14ac:dyDescent="0.35">
      <c r="A9" s="8" t="s">
        <v>174</v>
      </c>
      <c r="B9" s="30">
        <v>7.0000000000000007E-2</v>
      </c>
      <c r="C9" s="29" t="s">
        <v>175</v>
      </c>
    </row>
    <row r="10" spans="1:3" x14ac:dyDescent="0.35">
      <c r="A10" s="12" t="s">
        <v>43</v>
      </c>
      <c r="B10" s="31">
        <f>B7*B8</f>
        <v>4800</v>
      </c>
      <c r="C10" s="32"/>
    </row>
    <row r="12" spans="1:3" x14ac:dyDescent="0.35">
      <c r="A12" s="10" t="s">
        <v>176</v>
      </c>
    </row>
    <row r="13" spans="1:3" x14ac:dyDescent="0.35">
      <c r="A13" s="10" t="s">
        <v>177</v>
      </c>
      <c r="B13" s="10" t="s">
        <v>178</v>
      </c>
    </row>
    <row r="14" spans="1:3" x14ac:dyDescent="0.35">
      <c r="A14" s="10" t="s">
        <v>179</v>
      </c>
      <c r="B14" s="10" t="s">
        <v>180</v>
      </c>
    </row>
    <row r="15" spans="1:3" x14ac:dyDescent="0.35">
      <c r="A15" s="10" t="s">
        <v>181</v>
      </c>
      <c r="B15" s="10" t="s">
        <v>182</v>
      </c>
    </row>
    <row r="16" spans="1:3" x14ac:dyDescent="0.35">
      <c r="A16" s="10" t="s">
        <v>183</v>
      </c>
      <c r="B16" s="10" t="s">
        <v>184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0"/>
  <sheetViews>
    <sheetView zoomScaleNormal="100" workbookViewId="0">
      <pane ySplit="1" topLeftCell="A25" activePane="bottomLeft" state="frozen"/>
      <selection pane="bottomLeft"/>
    </sheetView>
  </sheetViews>
  <sheetFormatPr defaultColWidth="8.6328125" defaultRowHeight="14.5" x14ac:dyDescent="0.35"/>
  <cols>
    <col min="1" max="1" width="100" customWidth="1"/>
  </cols>
  <sheetData>
    <row r="1" spans="1:1" ht="27.75" customHeight="1" x14ac:dyDescent="0.35">
      <c r="A1" s="1" t="s">
        <v>185</v>
      </c>
    </row>
    <row r="3" spans="1:1" x14ac:dyDescent="0.35">
      <c r="A3" s="33" t="s">
        <v>186</v>
      </c>
    </row>
    <row r="4" spans="1:1" ht="144" customHeight="1" x14ac:dyDescent="0.35">
      <c r="A4" s="34" t="s">
        <v>187</v>
      </c>
    </row>
    <row r="6" spans="1:1" x14ac:dyDescent="0.35">
      <c r="A6" s="33" t="s">
        <v>188</v>
      </c>
    </row>
    <row r="7" spans="1:1" ht="54" customHeight="1" x14ac:dyDescent="0.35">
      <c r="A7" s="34" t="s">
        <v>189</v>
      </c>
    </row>
    <row r="9" spans="1:1" x14ac:dyDescent="0.35">
      <c r="A9" s="33" t="s">
        <v>190</v>
      </c>
    </row>
    <row r="10" spans="1:1" ht="198" customHeight="1" x14ac:dyDescent="0.35">
      <c r="A10" s="34" t="s">
        <v>191</v>
      </c>
    </row>
    <row r="12" spans="1:1" x14ac:dyDescent="0.35">
      <c r="A12" s="33" t="s">
        <v>192</v>
      </c>
    </row>
    <row r="13" spans="1:1" ht="90" customHeight="1" x14ac:dyDescent="0.35">
      <c r="A13" s="34" t="s">
        <v>193</v>
      </c>
    </row>
    <row r="15" spans="1:1" x14ac:dyDescent="0.35">
      <c r="A15" s="33" t="s">
        <v>194</v>
      </c>
    </row>
    <row r="16" spans="1:1" ht="72" customHeight="1" x14ac:dyDescent="0.35">
      <c r="A16" s="34" t="s">
        <v>195</v>
      </c>
    </row>
    <row r="18" spans="1:1" x14ac:dyDescent="0.35">
      <c r="A18" s="33" t="s">
        <v>196</v>
      </c>
    </row>
    <row r="19" spans="1:1" ht="90" customHeight="1" x14ac:dyDescent="0.35">
      <c r="A19" s="34" t="s">
        <v>197</v>
      </c>
    </row>
    <row r="21" spans="1:1" x14ac:dyDescent="0.35">
      <c r="A21" s="33" t="s">
        <v>198</v>
      </c>
    </row>
    <row r="22" spans="1:1" ht="54" customHeight="1" x14ac:dyDescent="0.35">
      <c r="A22" s="34" t="s">
        <v>199</v>
      </c>
    </row>
    <row r="24" spans="1:1" x14ac:dyDescent="0.35">
      <c r="A24" s="33" t="s">
        <v>200</v>
      </c>
    </row>
    <row r="25" spans="1:1" ht="72" customHeight="1" x14ac:dyDescent="0.35">
      <c r="A25" s="34" t="s">
        <v>201</v>
      </c>
    </row>
    <row r="27" spans="1:1" x14ac:dyDescent="0.35">
      <c r="A27" s="33" t="s">
        <v>202</v>
      </c>
    </row>
    <row r="28" spans="1:1" ht="108" customHeight="1" x14ac:dyDescent="0.35">
      <c r="A28" s="34" t="s">
        <v>203</v>
      </c>
    </row>
    <row r="30" spans="1:1" x14ac:dyDescent="0.35">
      <c r="A30" s="33" t="s">
        <v>204</v>
      </c>
    </row>
    <row r="31" spans="1:1" ht="54" customHeight="1" x14ac:dyDescent="0.35">
      <c r="A31" s="34" t="s">
        <v>205</v>
      </c>
    </row>
    <row r="33" spans="1:1" x14ac:dyDescent="0.35">
      <c r="A33" s="33" t="s">
        <v>206</v>
      </c>
    </row>
    <row r="34" spans="1:1" ht="54" customHeight="1" x14ac:dyDescent="0.35">
      <c r="A34" s="34" t="s">
        <v>207</v>
      </c>
    </row>
    <row r="36" spans="1:1" x14ac:dyDescent="0.35">
      <c r="A36" s="33" t="s">
        <v>208</v>
      </c>
    </row>
    <row r="37" spans="1:1" ht="90" customHeight="1" x14ac:dyDescent="0.35">
      <c r="A37" s="34" t="s">
        <v>209</v>
      </c>
    </row>
    <row r="39" spans="1:1" x14ac:dyDescent="0.35">
      <c r="A39" s="33" t="s">
        <v>210</v>
      </c>
    </row>
    <row r="40" spans="1:1" ht="72" customHeight="1" x14ac:dyDescent="0.35">
      <c r="A40" s="34" t="s">
        <v>211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tabSelected="1" zoomScaleNormal="100" workbookViewId="0">
      <pane ySplit="4" topLeftCell="A5" activePane="bottomLeft" state="frozen"/>
      <selection pane="bottomLeft" sqref="A1:D1"/>
    </sheetView>
  </sheetViews>
  <sheetFormatPr defaultColWidth="8.6328125" defaultRowHeight="14.5" x14ac:dyDescent="0.35"/>
  <cols>
    <col min="1" max="1" width="22" customWidth="1"/>
    <col min="2" max="2" width="45" customWidth="1"/>
    <col min="3" max="3" width="20" customWidth="1"/>
    <col min="4" max="4" width="45" customWidth="1"/>
  </cols>
  <sheetData>
    <row r="1" spans="1:4" ht="27.75" customHeight="1" x14ac:dyDescent="0.35">
      <c r="A1" s="43" t="s">
        <v>212</v>
      </c>
      <c r="B1" s="43"/>
      <c r="C1" s="43"/>
      <c r="D1" s="43"/>
    </row>
    <row r="2" spans="1:4" x14ac:dyDescent="0.35">
      <c r="A2" s="44" t="s">
        <v>213</v>
      </c>
      <c r="B2" s="44"/>
      <c r="C2" s="44"/>
      <c r="D2" s="44"/>
    </row>
    <row r="4" spans="1:4" ht="26" x14ac:dyDescent="0.35">
      <c r="A4" s="7" t="s">
        <v>214</v>
      </c>
      <c r="B4" s="7" t="s">
        <v>215</v>
      </c>
      <c r="C4" s="7" t="s">
        <v>216</v>
      </c>
      <c r="D4" s="7" t="s">
        <v>164</v>
      </c>
    </row>
    <row r="5" spans="1:4" ht="48" customHeight="1" x14ac:dyDescent="0.35">
      <c r="A5" s="35" t="s">
        <v>217</v>
      </c>
      <c r="B5" s="36" t="s">
        <v>218</v>
      </c>
      <c r="C5" s="37">
        <f>ROUND('Annual Summary'!$B$13,0)</f>
        <v>50440</v>
      </c>
      <c r="D5" s="38" t="s">
        <v>219</v>
      </c>
    </row>
    <row r="6" spans="1:4" ht="48" customHeight="1" x14ac:dyDescent="0.35">
      <c r="A6" s="35" t="s">
        <v>220</v>
      </c>
      <c r="B6" s="36" t="s">
        <v>221</v>
      </c>
      <c r="C6" s="39" t="s">
        <v>222</v>
      </c>
      <c r="D6" s="38" t="s">
        <v>223</v>
      </c>
    </row>
    <row r="7" spans="1:4" ht="48" customHeight="1" x14ac:dyDescent="0.35">
      <c r="A7" s="35" t="s">
        <v>224</v>
      </c>
      <c r="B7" s="36" t="s">
        <v>225</v>
      </c>
      <c r="C7" s="39" t="s">
        <v>226</v>
      </c>
      <c r="D7" s="38" t="s">
        <v>227</v>
      </c>
    </row>
    <row r="8" spans="1:4" ht="48" customHeight="1" x14ac:dyDescent="0.35">
      <c r="A8" s="35" t="s">
        <v>228</v>
      </c>
      <c r="B8" s="36" t="s">
        <v>229</v>
      </c>
      <c r="C8" s="39" t="s">
        <v>230</v>
      </c>
      <c r="D8" s="38" t="s">
        <v>231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Annual Summary</vt:lpstr>
      <vt:lpstr>Per-Camp Budget</vt:lpstr>
      <vt:lpstr>Overhead Fixed &amp; Setup</vt:lpstr>
      <vt:lpstr>Assumptions</vt:lpstr>
      <vt:lpstr>Budget Notes &amp; Justification</vt:lpstr>
      <vt:lpstr>3-Year Outlook (Indicative)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WASSWA WILSON</cp:lastModifiedBy>
  <cp:revision>1</cp:revision>
  <dcterms:created xsi:type="dcterms:W3CDTF">2026-08-16T16:02:14Z</dcterms:created>
  <dcterms:modified xsi:type="dcterms:W3CDTF">2026-08-18T15:13:50Z</dcterms:modified>
  <dc:language>en-US</dc:language>
</cp:coreProperties>
</file>